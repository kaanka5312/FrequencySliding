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ankeskin/projects/FrequencySliding/data/raw/"/>
    </mc:Choice>
  </mc:AlternateContent>
  <xr:revisionPtr revIDLastSave="0" documentId="13_ncr:1_{14650DCF-4D87-C249-96B5-F054E5B1E613}" xr6:coauthVersionLast="47" xr6:coauthVersionMax="47" xr10:uidLastSave="{00000000-0000-0000-0000-000000000000}"/>
  <bookViews>
    <workbookView xWindow="0" yWindow="500" windowWidth="23260" windowHeight="14620" xr2:uid="{00000000-000D-0000-FFFF-FFFF00000000}"/>
  </bookViews>
  <sheets>
    <sheet name="BDI-II Multi" sheetId="1" r:id="rId1"/>
    <sheet name="BDI-II_AfterE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1" i="2" l="1"/>
  <c r="Z11" i="2" a="1"/>
  <c r="Z11" i="2" s="1"/>
  <c r="Y11" i="2" a="1"/>
  <c r="Y11" i="2" s="1"/>
  <c r="X11" i="2" a="1"/>
  <c r="X11" i="2" s="1"/>
  <c r="AA13" i="2"/>
  <c r="Z13" i="2" a="1"/>
  <c r="Z13" i="2" s="1"/>
  <c r="Y13" i="2" a="1"/>
  <c r="Y13" i="2" s="1"/>
  <c r="X13" i="2" a="1"/>
  <c r="X13" i="2" s="1"/>
  <c r="X39" i="1" a="1"/>
  <c r="X39" i="1" s="1"/>
  <c r="Y39" i="1" a="1"/>
  <c r="Y39" i="1"/>
  <c r="Z39" i="1" a="1"/>
  <c r="Z39" i="1" s="1"/>
  <c r="AA39" i="1"/>
  <c r="AA14" i="2"/>
  <c r="Z14" i="2" a="1"/>
  <c r="Z14" i="2" s="1"/>
  <c r="Y14" i="2" a="1"/>
  <c r="Y14" i="2" s="1"/>
  <c r="X14" i="2" a="1"/>
  <c r="X14" i="2" s="1"/>
  <c r="X40" i="1" a="1"/>
  <c r="X40" i="1" s="1"/>
  <c r="Y40" i="1" a="1"/>
  <c r="Y40" i="1" s="1"/>
  <c r="Z40" i="1" a="1"/>
  <c r="Z40" i="1"/>
  <c r="AA40" i="1"/>
  <c r="AA12" i="2"/>
  <c r="Z12" i="2" a="1"/>
  <c r="Z12" i="2" s="1"/>
  <c r="Y12" i="2" a="1"/>
  <c r="Y12" i="2" s="1"/>
  <c r="X12" i="2" a="1"/>
  <c r="X12" i="2" s="1"/>
  <c r="X37" i="1" a="1"/>
  <c r="X37" i="1" s="1"/>
  <c r="Y37" i="1" a="1"/>
  <c r="Y37" i="1"/>
  <c r="Z37" i="1" a="1"/>
  <c r="Z37" i="1" s="1"/>
  <c r="AA37" i="1"/>
  <c r="X34" i="1" a="1"/>
  <c r="X34" i="1" s="1"/>
  <c r="Y34" i="1" a="1"/>
  <c r="Y34" i="1" s="1"/>
  <c r="Z34" i="1" a="1"/>
  <c r="Z34" i="1" s="1"/>
  <c r="AA34" i="1"/>
  <c r="X27" i="1" a="1"/>
  <c r="X27" i="1" s="1"/>
  <c r="Y27" i="1" a="1"/>
  <c r="Y27" i="1"/>
  <c r="Z27" i="1" a="1"/>
  <c r="Z27" i="1" s="1"/>
  <c r="AA27" i="1"/>
  <c r="AA10" i="2"/>
  <c r="Z10" i="2" a="1"/>
  <c r="Z10" i="2" s="1"/>
  <c r="Y10" i="2" a="1"/>
  <c r="Y10" i="2" s="1"/>
  <c r="X10" i="2" a="1"/>
  <c r="X10" i="2" s="1"/>
  <c r="AA9" i="2"/>
  <c r="Z9" i="2" a="1"/>
  <c r="Z9" i="2" s="1"/>
  <c r="Y9" i="2" a="1"/>
  <c r="Y9" i="2" s="1"/>
  <c r="X9" i="2" a="1"/>
  <c r="X9" i="2" s="1"/>
  <c r="X21" i="1" a="1"/>
  <c r="X21" i="1" s="1"/>
  <c r="Y21" i="1" a="1"/>
  <c r="Y21" i="1" s="1"/>
  <c r="Z21" i="1" a="1"/>
  <c r="Z21" i="1"/>
  <c r="AA21" i="1"/>
  <c r="AA8" i="2"/>
  <c r="Z8" i="2" a="1"/>
  <c r="Z8" i="2" s="1"/>
  <c r="Y8" i="2" a="1"/>
  <c r="Y8" i="2" s="1"/>
  <c r="X8" i="2" a="1"/>
  <c r="X8" i="2" s="1"/>
  <c r="X20" i="1" a="1"/>
  <c r="X20" i="1" s="1"/>
  <c r="Y20" i="1" a="1"/>
  <c r="Y20" i="1" s="1"/>
  <c r="Z20" i="1" a="1"/>
  <c r="Z20" i="1" s="1"/>
  <c r="AA20" i="1"/>
  <c r="X17" i="1" a="1"/>
  <c r="X17" i="1" s="1"/>
  <c r="Y17" i="1" a="1"/>
  <c r="Y17" i="1" s="1"/>
  <c r="Z17" i="1" a="1"/>
  <c r="Z17" i="1"/>
  <c r="AA17" i="1"/>
  <c r="AA7" i="2"/>
  <c r="Z7" i="2" a="1"/>
  <c r="Z7" i="2" s="1"/>
  <c r="Y7" i="2" a="1"/>
  <c r="Y7" i="2" s="1"/>
  <c r="X7" i="2" a="1"/>
  <c r="X7" i="2" s="1"/>
  <c r="X14" i="1" a="1"/>
  <c r="X14" i="1" s="1"/>
  <c r="Y14" i="1" a="1"/>
  <c r="Y14" i="1"/>
  <c r="Z14" i="1" a="1"/>
  <c r="Z14" i="1" s="1"/>
  <c r="AA14" i="1"/>
  <c r="AA6" i="2"/>
  <c r="Z6" i="2" a="1"/>
  <c r="Z6" i="2" s="1"/>
  <c r="Y6" i="2" a="1"/>
  <c r="Y6" i="2" s="1"/>
  <c r="X6" i="2" a="1"/>
  <c r="X6" i="2" s="1"/>
  <c r="X8" i="1" a="1"/>
  <c r="X8" i="1" s="1"/>
  <c r="Y8" i="1" a="1"/>
  <c r="Y8" i="1" s="1"/>
  <c r="Z8" i="1" a="1"/>
  <c r="Z8" i="1" s="1"/>
  <c r="AA8" i="1"/>
  <c r="AA5" i="2"/>
  <c r="Z5" i="2" a="1"/>
  <c r="Z5" i="2" s="1"/>
  <c r="Y5" i="2" a="1"/>
  <c r="Y5" i="2" s="1"/>
  <c r="X5" i="2" a="1"/>
  <c r="X5" i="2" s="1"/>
  <c r="X7" i="1" a="1"/>
  <c r="X7" i="1" s="1"/>
  <c r="Y7" i="1" a="1"/>
  <c r="Y7" i="1" s="1"/>
  <c r="Z7" i="1" a="1"/>
  <c r="Z7" i="1"/>
  <c r="AA7" i="1"/>
  <c r="AA4" i="2"/>
  <c r="Z4" i="2" a="1"/>
  <c r="Z4" i="2" s="1"/>
  <c r="Y4" i="2" a="1"/>
  <c r="Y4" i="2" s="1"/>
  <c r="X4" i="2" a="1"/>
  <c r="X4" i="2" s="1"/>
  <c r="X6" i="1" a="1"/>
  <c r="X6" i="1" s="1"/>
  <c r="Y6" i="1" a="1"/>
  <c r="Y6" i="1"/>
  <c r="Z6" i="1" a="1"/>
  <c r="Z6" i="1" s="1"/>
  <c r="AA6" i="1"/>
  <c r="AA3" i="2"/>
  <c r="Z3" i="2" a="1"/>
  <c r="Z3" i="2" s="1"/>
  <c r="Y3" i="2" a="1"/>
  <c r="Y3" i="2" s="1"/>
  <c r="X3" i="2" a="1"/>
  <c r="X3" i="2" s="1"/>
  <c r="X5" i="1" a="1"/>
  <c r="X5" i="1" s="1"/>
  <c r="Y5" i="1" a="1"/>
  <c r="Y5" i="1" s="1"/>
  <c r="Z5" i="1" a="1"/>
  <c r="Z5" i="1" s="1"/>
  <c r="AA5" i="1"/>
  <c r="AA2" i="2"/>
  <c r="Z2" i="2" a="1"/>
  <c r="Z2" i="2" s="1"/>
  <c r="Y2" i="2" a="1"/>
  <c r="Y2" i="2" s="1"/>
  <c r="X2" i="2" a="1"/>
  <c r="X2" i="2" s="1"/>
  <c r="AA2" i="1"/>
  <c r="AA3" i="1"/>
  <c r="Z2" i="1" a="1"/>
  <c r="Z2" i="1" s="1"/>
  <c r="Z3" i="1" a="1"/>
  <c r="Z3" i="1" s="1"/>
  <c r="Y2" i="1" a="1"/>
  <c r="Y2" i="1" s="1"/>
  <c r="Y3" i="1" a="1"/>
  <c r="Y3" i="1" s="1"/>
  <c r="X2" i="1" a="1"/>
  <c r="X2" i="1" s="1"/>
  <c r="X3" i="1" a="1"/>
  <c r="X3" i="1" s="1"/>
  <c r="X19" i="1" a="1"/>
  <c r="X19" i="1" s="1"/>
  <c r="Y19" i="1" a="1"/>
  <c r="Y19" i="1" s="1"/>
  <c r="Z19" i="1" a="1"/>
  <c r="Z19" i="1" s="1"/>
  <c r="AA19" i="1"/>
  <c r="X23" i="1" a="1"/>
  <c r="X23" i="1" s="1"/>
  <c r="Y23" i="1" a="1"/>
  <c r="Y23" i="1" s="1"/>
  <c r="Z23" i="1" a="1"/>
  <c r="Z23" i="1" s="1"/>
  <c r="X33" i="1" a="1"/>
  <c r="X33" i="1" s="1"/>
  <c r="Y33" i="1" a="1"/>
  <c r="Y33" i="1" s="1"/>
  <c r="Z33" i="1" a="1"/>
  <c r="Z33" i="1" s="1"/>
  <c r="AA33" i="1"/>
  <c r="X26" i="1" a="1"/>
  <c r="X26" i="1" s="1"/>
  <c r="Y26" i="1" a="1"/>
  <c r="Y26" i="1" s="1"/>
  <c r="Z26" i="1" a="1"/>
  <c r="Z26" i="1" s="1"/>
  <c r="AA26" i="1"/>
  <c r="X11" i="1" a="1"/>
  <c r="X11" i="1" s="1"/>
  <c r="Y11" i="1" a="1"/>
  <c r="Y11" i="1" s="1"/>
  <c r="Z11" i="1" a="1"/>
  <c r="Z11" i="1" s="1"/>
  <c r="AA11" i="1"/>
  <c r="X16" i="1" a="1"/>
  <c r="X16" i="1" s="1"/>
  <c r="Y16" i="1" a="1"/>
  <c r="Y16" i="1" s="1"/>
  <c r="Z16" i="1" a="1"/>
  <c r="Z16" i="1" s="1"/>
  <c r="AA16" i="1"/>
  <c r="X4" i="1" a="1"/>
  <c r="X4" i="1" s="1"/>
  <c r="Y4" i="1" a="1"/>
  <c r="Y4" i="1" s="1"/>
  <c r="Z4" i="1" a="1"/>
  <c r="Z4" i="1" s="1"/>
  <c r="AA4" i="1"/>
  <c r="X15" i="1" a="1"/>
  <c r="X15" i="1" s="1"/>
  <c r="Y15" i="1" a="1"/>
  <c r="Y15" i="1" s="1"/>
  <c r="Z15" i="1" a="1"/>
  <c r="Z15" i="1" s="1"/>
  <c r="AA15" i="1"/>
  <c r="X10" i="1" a="1"/>
  <c r="X10" i="1" s="1"/>
  <c r="Y10" i="1" a="1"/>
  <c r="Y10" i="1" s="1"/>
  <c r="Z10" i="1" a="1"/>
  <c r="Z10" i="1" s="1"/>
  <c r="AA10" i="1"/>
  <c r="X9" i="1" a="1"/>
  <c r="X9" i="1" s="1"/>
  <c r="Y9" i="1" a="1"/>
  <c r="Y9" i="1" s="1"/>
  <c r="Z9" i="1" a="1"/>
  <c r="Z9" i="1" s="1"/>
  <c r="AA9" i="1"/>
  <c r="X12" i="1" a="1"/>
  <c r="X12" i="1" s="1"/>
  <c r="Y12" i="1" a="1"/>
  <c r="Y12" i="1" s="1"/>
  <c r="Z12" i="1" a="1"/>
  <c r="Z12" i="1" s="1"/>
  <c r="AA12" i="1"/>
  <c r="X18" i="1" a="1"/>
  <c r="X18" i="1" s="1"/>
  <c r="Y18" i="1" a="1"/>
  <c r="Y18" i="1" s="1"/>
  <c r="Z18" i="1" a="1"/>
  <c r="Z18" i="1" s="1"/>
  <c r="AA18" i="1"/>
  <c r="AA24" i="1"/>
  <c r="AA25" i="1"/>
  <c r="AA28" i="1"/>
  <c r="AA29" i="1"/>
  <c r="AA30" i="1"/>
  <c r="AA31" i="1"/>
  <c r="AA35" i="1"/>
  <c r="AA32" i="1"/>
  <c r="AA36" i="1"/>
  <c r="AA13" i="1"/>
  <c r="AA22" i="1"/>
  <c r="AA23" i="1"/>
  <c r="Z13" i="1" a="1"/>
  <c r="Z13" i="1" s="1"/>
  <c r="Y13" i="1" a="1"/>
  <c r="Y13" i="1" s="1"/>
  <c r="X13" i="1" a="1"/>
  <c r="X13" i="1" s="1"/>
  <c r="Z22" i="1" a="1"/>
  <c r="Z22" i="1" s="1"/>
  <c r="Y22" i="1" a="1"/>
  <c r="Y22" i="1" s="1"/>
  <c r="X22" i="1" a="1"/>
  <c r="X22" i="1" s="1"/>
  <c r="X31" i="1" a="1"/>
  <c r="X31" i="1" s="1"/>
  <c r="Y31" i="1" a="1"/>
  <c r="Y31" i="1" s="1"/>
  <c r="Z31" i="1" a="1"/>
  <c r="Z31" i="1" s="1"/>
  <c r="X30" i="1" a="1"/>
  <c r="X30" i="1" s="1"/>
  <c r="Y30" i="1" a="1"/>
  <c r="Y30" i="1" s="1"/>
  <c r="Z30" i="1" a="1"/>
  <c r="Z30" i="1" s="1"/>
  <c r="X42" i="1" a="1"/>
  <c r="X42" i="1" s="1"/>
  <c r="Y42" i="1" a="1"/>
  <c r="Y42" i="1" s="1"/>
  <c r="Z42" i="1" a="1"/>
  <c r="Z42" i="1" s="1"/>
  <c r="AA42" i="1"/>
  <c r="X38" i="1" a="1"/>
  <c r="X38" i="1" s="1"/>
  <c r="Y38" i="1" a="1"/>
  <c r="Y38" i="1" s="1"/>
  <c r="Z38" i="1" a="1"/>
  <c r="Z38" i="1" s="1"/>
  <c r="AA38" i="1"/>
  <c r="X43" i="1" a="1"/>
  <c r="X43" i="1" s="1"/>
  <c r="Y43" i="1" a="1"/>
  <c r="Y43" i="1" s="1"/>
  <c r="Z43" i="1" a="1"/>
  <c r="Z43" i="1" s="1"/>
  <c r="AA43" i="1"/>
  <c r="Z24" i="1" a="1"/>
  <c r="Z24" i="1" s="1"/>
  <c r="Y24" i="1" a="1"/>
  <c r="Y24" i="1" s="1"/>
  <c r="X24" i="1" a="1"/>
  <c r="X24" i="1" s="1"/>
  <c r="Z25" i="1" a="1"/>
  <c r="Z25" i="1" s="1"/>
  <c r="Y25" i="1" a="1"/>
  <c r="Y25" i="1" s="1"/>
  <c r="Y28" i="1" a="1"/>
  <c r="Y28" i="1" s="1"/>
  <c r="X25" i="1" a="1"/>
  <c r="X25" i="1" s="1"/>
  <c r="X36" i="1" a="1"/>
  <c r="X36" i="1" s="1"/>
  <c r="Y36" i="1" a="1"/>
  <c r="Y36" i="1" s="1"/>
  <c r="Z36" i="1" a="1"/>
  <c r="Z36" i="1" s="1"/>
  <c r="Z32" i="1" a="1"/>
  <c r="Z32" i="1" s="1"/>
  <c r="Y32" i="1" a="1"/>
  <c r="Y32" i="1" s="1"/>
  <c r="X32" i="1" a="1"/>
  <c r="X32" i="1" s="1"/>
  <c r="Z35" i="1" a="1"/>
  <c r="Z35" i="1" s="1"/>
  <c r="Y35" i="1" a="1"/>
  <c r="Y35" i="1" s="1"/>
  <c r="X35" i="1" a="1"/>
  <c r="X35" i="1" s="1"/>
  <c r="Z29" i="1" a="1"/>
  <c r="Z29" i="1" s="1"/>
  <c r="Y29" i="1" a="1"/>
  <c r="Y29" i="1" s="1"/>
  <c r="Z28" i="1" a="1"/>
  <c r="Z28" i="1" s="1"/>
  <c r="X28" i="1" a="1"/>
  <c r="X28" i="1" s="1"/>
  <c r="X29" i="1" a="1"/>
  <c r="X2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<sst xmlns="http://schemas.openxmlformats.org/spreadsheetml/2006/main" count="193" uniqueCount="116">
  <si>
    <t>SubjectID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</si>
  <si>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</si>
  <si>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</si>
  <si>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</si>
  <si>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</si>
  <si>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</si>
  <si>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</si>
  <si>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</si>
  <si>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</si>
  <si>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</si>
  <si>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</si>
  <si>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</si>
  <si>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</si>
  <si>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</si>
  <si>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</si>
  <si>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</si>
  <si>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</si>
  <si>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</si>
  <si>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</si>
  <si>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</si>
  <si>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</si>
  <si>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</si>
  <si>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NA Score</t>
  </si>
  <si>
    <t>PD Score</t>
  </si>
  <si>
    <t>SM Score</t>
  </si>
  <si>
    <t>Total Score</t>
  </si>
  <si>
    <t>sub-28</t>
  </si>
  <si>
    <t>Name</t>
  </si>
  <si>
    <t>Belmaİken</t>
  </si>
  <si>
    <t>sub-27</t>
  </si>
  <si>
    <t>AyçaYılmaz</t>
  </si>
  <si>
    <t>Merveİzmirli</t>
  </si>
  <si>
    <t>sub-34</t>
  </si>
  <si>
    <t>HicranArı</t>
  </si>
  <si>
    <t>sub-31</t>
  </si>
  <si>
    <t>MustafaTufanTunç</t>
  </si>
  <si>
    <t>sub-35</t>
  </si>
  <si>
    <t>AdnanMertKorkmaz</t>
  </si>
  <si>
    <t>sub-24</t>
  </si>
  <si>
    <t>BelkızKaya</t>
  </si>
  <si>
    <t>sub-23</t>
  </si>
  <si>
    <t>sub-42</t>
  </si>
  <si>
    <t>YaseminYıldız</t>
  </si>
  <si>
    <t>sub-37</t>
  </si>
  <si>
    <t>OsmanTan</t>
  </si>
  <si>
    <t>UlaşBaşak</t>
  </si>
  <si>
    <t>sub-38</t>
  </si>
  <si>
    <t>sub-41</t>
  </si>
  <si>
    <t>SenemUranSığın</t>
  </si>
  <si>
    <t>sub-40</t>
  </si>
  <si>
    <t>NA</t>
  </si>
  <si>
    <t>GizemFidan</t>
  </si>
  <si>
    <t>sub-29</t>
  </si>
  <si>
    <t>GönülHanbayat</t>
  </si>
  <si>
    <t>sub-30</t>
  </si>
  <si>
    <t>sub-21</t>
  </si>
  <si>
    <t>İkbalŞahpaz</t>
  </si>
  <si>
    <t>BilalYüksel</t>
  </si>
  <si>
    <t>sub-4</t>
  </si>
  <si>
    <t>MustafaSipahi</t>
  </si>
  <si>
    <t>sub-12</t>
  </si>
  <si>
    <t>sub-17</t>
  </si>
  <si>
    <t>ZeynepIşık</t>
  </si>
  <si>
    <t>MustafaDuran</t>
  </si>
  <si>
    <t>sub-11</t>
  </si>
  <si>
    <t>IrmakÇoşkun</t>
  </si>
  <si>
    <t>sub-8</t>
  </si>
  <si>
    <t>sub-9</t>
  </si>
  <si>
    <t>İbrahimYeşildal</t>
  </si>
  <si>
    <t>sub-14</t>
  </si>
  <si>
    <t>TuğbaDurmuş</t>
  </si>
  <si>
    <t>BetülCenger</t>
  </si>
  <si>
    <t>sub-3</t>
  </si>
  <si>
    <t>ÜlkerDilşadSarıyıldız</t>
  </si>
  <si>
    <t>sub-15</t>
  </si>
  <si>
    <t>MügeAlbayrak</t>
  </si>
  <si>
    <t>sub-10</t>
  </si>
  <si>
    <t>NeşeArslankılıç</t>
  </si>
  <si>
    <t>sub-36</t>
  </si>
  <si>
    <t>sub-25</t>
  </si>
  <si>
    <t>AlihanŞirin</t>
  </si>
  <si>
    <t>AslıTopal</t>
  </si>
  <si>
    <t>sub-26</t>
  </si>
  <si>
    <t>MelekGencel</t>
  </si>
  <si>
    <t>sub-32</t>
  </si>
  <si>
    <t>MuallaGönültaş</t>
  </si>
  <si>
    <t>sub-33</t>
  </si>
  <si>
    <t>PınarSatırlı</t>
  </si>
  <si>
    <t>SıdıkaSak</t>
  </si>
  <si>
    <t>sub-39</t>
  </si>
  <si>
    <t>BernaÖzlemÖzcan</t>
  </si>
  <si>
    <t>sub-22</t>
  </si>
  <si>
    <t>AylinPalanduz</t>
  </si>
  <si>
    <t>sub-1</t>
  </si>
  <si>
    <t>AyçinYiğit</t>
  </si>
  <si>
    <t>sub-2</t>
  </si>
  <si>
    <t>DenizTunca</t>
  </si>
  <si>
    <t>sub-5</t>
  </si>
  <si>
    <t>EzametÇeçen</t>
  </si>
  <si>
    <t>sub-6</t>
  </si>
  <si>
    <t>HamideÇeliker</t>
  </si>
  <si>
    <t>sub-7</t>
  </si>
  <si>
    <t>SıdıkaKeleş</t>
  </si>
  <si>
    <t>sub-13</t>
  </si>
  <si>
    <t>ÜnalYıldız</t>
  </si>
  <si>
    <t>sub-16</t>
  </si>
  <si>
    <t>YakupBaydur</t>
  </si>
  <si>
    <t>sub-18</t>
  </si>
  <si>
    <t>KübraYalçınoğlu</t>
  </si>
  <si>
    <t>sub-19</t>
  </si>
  <si>
    <t>KorayCirik</t>
  </si>
  <si>
    <t>sub-20</t>
  </si>
  <si>
    <t>Age</t>
  </si>
  <si>
    <t>Sex</t>
  </si>
  <si>
    <t>DoI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</si>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</sst>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3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4.33203125" customWidth="1"/>
  </cols>
  <sheetData>
    <row r="1" spans="1:31" x14ac:dyDescent="0.2">
      <c r="A1" t="s">
        <v>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112</v>
      </c>
      <c r="AC1" t="s">
        <v>113</v>
      </c>
      <c r="AD1" t="s">
        <v>114</v>
      </c>
      <c r="AE1" t="s">
        <v>115</v>
      </c>
    </row>
    <row r="2" spans="1:31" x14ac:dyDescent="0.2">
      <c r="A2" t="s">
        <v>92</v>
      </c>
      <c r="B2" t="s">
        <v>93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1</v>
      </c>
      <c r="R2">
        <v>0</v>
      </c>
      <c r="S2">
        <v>1</v>
      </c>
      <c r="T2">
        <v>1</v>
      </c>
      <c r="U2">
        <v>0</v>
      </c>
      <c r="V2">
        <v>0</v>
      </c>
      <c r="W2">
        <v>1</v>
      </c>
      <c r="X2" cm="1">
        <f t="array" ref="X2">SUM(INDEX(C2:W2, {1,2,3,5,6,7,8,9,10,14}))</f>
        <v>1</v>
      </c>
      <c r="Y2" cm="1">
        <f t="array" ref="Y2">SUM(INDEX(C2:W2, {4,11,12,13,17,19}))</f>
        <v>4</v>
      </c>
      <c r="Z2" cm="1">
        <f t="array" ref="Z2">SUM(INDEX(C2:W2, {15,16,18,20,21}))</f>
        <v>3</v>
      </c>
      <c r="AA2">
        <f t="shared" ref="AA2:AA4" si="0">SUM(C2:W2)</f>
        <v>8</v>
      </c>
      <c r="AB2">
        <v>56</v>
      </c>
      <c r="AC2">
        <v>2</v>
      </c>
      <c r="AD2">
        <v>33</v>
      </c>
      <c r="AE2">
        <v>12</v>
      </c>
    </row>
    <row r="3" spans="1:31" x14ac:dyDescent="0.2">
      <c r="A3" t="s">
        <v>94</v>
      </c>
      <c r="B3" t="s">
        <v>95</v>
      </c>
      <c r="C3">
        <v>2</v>
      </c>
      <c r="D3">
        <v>2</v>
      </c>
      <c r="E3">
        <v>3</v>
      </c>
      <c r="F3">
        <v>2</v>
      </c>
      <c r="G3">
        <v>3</v>
      </c>
      <c r="H3">
        <v>3</v>
      </c>
      <c r="I3">
        <v>3</v>
      </c>
      <c r="J3">
        <v>2</v>
      </c>
      <c r="K3">
        <v>3</v>
      </c>
      <c r="L3">
        <v>3</v>
      </c>
      <c r="M3">
        <v>3</v>
      </c>
      <c r="N3">
        <v>3</v>
      </c>
      <c r="O3">
        <v>2</v>
      </c>
      <c r="P3">
        <v>3</v>
      </c>
      <c r="Q3">
        <v>2</v>
      </c>
      <c r="R3">
        <v>1</v>
      </c>
      <c r="S3">
        <v>2</v>
      </c>
      <c r="T3">
        <v>3</v>
      </c>
      <c r="U3">
        <v>0</v>
      </c>
      <c r="V3">
        <v>0</v>
      </c>
      <c r="W3">
        <v>3</v>
      </c>
      <c r="X3" cm="1">
        <f t="array" ref="X3">SUM(INDEX(C3:W3, {1,2,3,5,6,7,8,9,10,14}))</f>
        <v>27</v>
      </c>
      <c r="Y3" cm="1">
        <f t="array" ref="Y3">SUM(INDEX(C3:W3, {4,11,12,13,17,19}))</f>
        <v>12</v>
      </c>
      <c r="Z3" cm="1">
        <f t="array" ref="Z3">SUM(INDEX(C3:W3, {15,16,18,20,21}))</f>
        <v>9</v>
      </c>
      <c r="AA3">
        <f t="shared" si="0"/>
        <v>48</v>
      </c>
      <c r="AB3">
        <v>36</v>
      </c>
      <c r="AC3">
        <v>2</v>
      </c>
      <c r="AD3">
        <v>9</v>
      </c>
      <c r="AE3">
        <v>18</v>
      </c>
    </row>
    <row r="4" spans="1:31" x14ac:dyDescent="0.2">
      <c r="A4" t="s">
        <v>71</v>
      </c>
      <c r="B4" t="s">
        <v>72</v>
      </c>
      <c r="C4">
        <v>3</v>
      </c>
      <c r="D4">
        <v>3</v>
      </c>
      <c r="E4">
        <v>2</v>
      </c>
      <c r="F4">
        <v>3</v>
      </c>
      <c r="G4">
        <v>3</v>
      </c>
      <c r="H4">
        <v>0</v>
      </c>
      <c r="I4">
        <v>2</v>
      </c>
      <c r="J4">
        <v>3</v>
      </c>
      <c r="K4">
        <v>1</v>
      </c>
      <c r="L4">
        <v>2</v>
      </c>
      <c r="M4">
        <v>1</v>
      </c>
      <c r="N4">
        <v>3</v>
      </c>
      <c r="O4">
        <v>0</v>
      </c>
      <c r="P4">
        <v>2</v>
      </c>
      <c r="Q4">
        <v>2</v>
      </c>
      <c r="R4">
        <v>1</v>
      </c>
      <c r="S4">
        <v>3</v>
      </c>
      <c r="T4">
        <v>0</v>
      </c>
      <c r="U4">
        <v>0</v>
      </c>
      <c r="V4">
        <v>0</v>
      </c>
      <c r="W4">
        <v>3</v>
      </c>
      <c r="X4" cm="1">
        <f t="array" ref="X4">SUM(INDEX(C4:W4, {1,2,3,5,6,7,8,9,10,14}))</f>
        <v>21</v>
      </c>
      <c r="Y4" cm="1">
        <f t="array" ref="Y4">SUM(INDEX(C4:W4, {4,11,12,13,17,19}))</f>
        <v>10</v>
      </c>
      <c r="Z4" cm="1">
        <f t="array" ref="Z4">SUM(INDEX(C4:W4, {15,16,18,20,21}))</f>
        <v>6</v>
      </c>
      <c r="AA4">
        <f t="shared" si="0"/>
        <v>37</v>
      </c>
      <c r="AB4">
        <v>39</v>
      </c>
      <c r="AC4">
        <v>2</v>
      </c>
      <c r="AD4">
        <v>12</v>
      </c>
      <c r="AE4">
        <v>12</v>
      </c>
    </row>
    <row r="5" spans="1:31" x14ac:dyDescent="0.2">
      <c r="A5" t="s">
        <v>57</v>
      </c>
      <c r="B5" t="s">
        <v>58</v>
      </c>
      <c r="C5">
        <v>0</v>
      </c>
      <c r="D5">
        <v>1</v>
      </c>
      <c r="E5">
        <v>1</v>
      </c>
      <c r="F5">
        <v>2</v>
      </c>
      <c r="G5">
        <v>0</v>
      </c>
      <c r="H5">
        <v>1</v>
      </c>
      <c r="I5">
        <v>2</v>
      </c>
      <c r="J5">
        <v>1</v>
      </c>
      <c r="K5">
        <v>0</v>
      </c>
      <c r="L5">
        <v>3</v>
      </c>
      <c r="M5">
        <v>3</v>
      </c>
      <c r="N5">
        <v>3</v>
      </c>
      <c r="O5">
        <v>2</v>
      </c>
      <c r="P5">
        <v>1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3</v>
      </c>
      <c r="X5" cm="1">
        <f t="array" ref="X5">SUM(INDEX(C5:W5, {1,2,3,5,6,7,8,9,10,14}))</f>
        <v>10</v>
      </c>
      <c r="Y5" cm="1">
        <f t="array" ref="Y5">SUM(INDEX(C5:W5, {4,11,12,13,17,19}))</f>
        <v>10</v>
      </c>
      <c r="Z5" cm="1">
        <f t="array" ref="Z5">SUM(INDEX(C5:W5, {15,16,18,20,21}))</f>
        <v>5</v>
      </c>
      <c r="AA5">
        <f t="shared" ref="AA5" si="1">SUM(C5:W5)</f>
        <v>25</v>
      </c>
      <c r="AB5">
        <v>49</v>
      </c>
      <c r="AC5">
        <v>1</v>
      </c>
      <c r="AD5">
        <v>9</v>
      </c>
      <c r="AE5">
        <v>12</v>
      </c>
    </row>
    <row r="6" spans="1:31" x14ac:dyDescent="0.2">
      <c r="A6" t="s">
        <v>96</v>
      </c>
      <c r="B6" t="s">
        <v>97</v>
      </c>
      <c r="C6">
        <v>2</v>
      </c>
      <c r="D6">
        <v>3</v>
      </c>
      <c r="E6">
        <v>3</v>
      </c>
      <c r="F6">
        <v>2</v>
      </c>
      <c r="G6">
        <v>3</v>
      </c>
      <c r="H6">
        <v>1</v>
      </c>
      <c r="I6">
        <v>3</v>
      </c>
      <c r="J6">
        <v>1</v>
      </c>
      <c r="K6">
        <v>1</v>
      </c>
      <c r="L6">
        <v>1</v>
      </c>
      <c r="M6">
        <v>1</v>
      </c>
      <c r="N6">
        <v>3</v>
      </c>
      <c r="O6">
        <v>3</v>
      </c>
      <c r="P6">
        <v>3</v>
      </c>
      <c r="Q6">
        <v>2</v>
      </c>
      <c r="R6">
        <v>3</v>
      </c>
      <c r="S6">
        <v>1</v>
      </c>
      <c r="T6">
        <v>1</v>
      </c>
      <c r="U6">
        <v>0</v>
      </c>
      <c r="V6">
        <v>2</v>
      </c>
      <c r="W6">
        <v>3</v>
      </c>
      <c r="X6" cm="1">
        <f t="array" ref="X6">SUM(INDEX(C6:W6, {1,2,3,5,6,7,8,9,10,14}))</f>
        <v>21</v>
      </c>
      <c r="Y6" cm="1">
        <f t="array" ref="Y6">SUM(INDEX(C6:W6, {4,11,12,13,17,19}))</f>
        <v>10</v>
      </c>
      <c r="Z6" cm="1">
        <f t="array" ref="Z6">SUM(INDEX(C6:W6, {15,16,18,20,21}))</f>
        <v>11</v>
      </c>
      <c r="AA6">
        <f t="shared" ref="AA6" si="2">SUM(C6:W6)</f>
        <v>42</v>
      </c>
      <c r="AB6">
        <v>27</v>
      </c>
      <c r="AC6">
        <v>2</v>
      </c>
      <c r="AD6">
        <v>7</v>
      </c>
      <c r="AE6">
        <v>12</v>
      </c>
    </row>
    <row r="7" spans="1:31" x14ac:dyDescent="0.2">
      <c r="A7" t="s">
        <v>98</v>
      </c>
      <c r="B7" t="s">
        <v>99</v>
      </c>
      <c r="C7">
        <v>3</v>
      </c>
      <c r="D7">
        <v>3</v>
      </c>
      <c r="E7">
        <v>2</v>
      </c>
      <c r="F7">
        <v>3</v>
      </c>
      <c r="G7">
        <v>2</v>
      </c>
      <c r="H7">
        <v>3</v>
      </c>
      <c r="I7">
        <v>1</v>
      </c>
      <c r="J7">
        <v>2</v>
      </c>
      <c r="K7">
        <v>3</v>
      </c>
      <c r="L7">
        <v>2</v>
      </c>
      <c r="M7">
        <v>1</v>
      </c>
      <c r="N7">
        <v>3</v>
      </c>
      <c r="O7">
        <v>3</v>
      </c>
      <c r="P7">
        <v>2</v>
      </c>
      <c r="Q7">
        <v>2</v>
      </c>
      <c r="R7">
        <v>3</v>
      </c>
      <c r="S7">
        <v>2</v>
      </c>
      <c r="T7">
        <v>2</v>
      </c>
      <c r="U7">
        <v>2</v>
      </c>
      <c r="V7">
        <v>1</v>
      </c>
      <c r="W7">
        <v>1</v>
      </c>
      <c r="X7" cm="1">
        <f t="array" ref="X7">SUM(INDEX(C7:W7, {1,2,3,5,6,7,8,9,10,14}))</f>
        <v>23</v>
      </c>
      <c r="Y7" cm="1">
        <f t="array" ref="Y7">SUM(INDEX(C7:W7, {4,11,12,13,17,19}))</f>
        <v>14</v>
      </c>
      <c r="Z7" cm="1">
        <f t="array" ref="Z7">SUM(INDEX(C7:W7, {15,16,18,20,21}))</f>
        <v>9</v>
      </c>
      <c r="AA7">
        <f t="shared" ref="AA7" si="3">SUM(C7:W7)</f>
        <v>46</v>
      </c>
      <c r="AB7">
        <v>32</v>
      </c>
      <c r="AC7">
        <v>2</v>
      </c>
      <c r="AD7">
        <v>15</v>
      </c>
      <c r="AE7">
        <v>12</v>
      </c>
    </row>
    <row r="8" spans="1:31" x14ac:dyDescent="0.2">
      <c r="A8" t="s">
        <v>100</v>
      </c>
      <c r="B8" t="s">
        <v>101</v>
      </c>
      <c r="C8">
        <v>3</v>
      </c>
      <c r="D8">
        <v>3</v>
      </c>
      <c r="E8">
        <v>3</v>
      </c>
      <c r="F8">
        <v>3</v>
      </c>
      <c r="G8">
        <v>1</v>
      </c>
      <c r="H8">
        <v>0</v>
      </c>
      <c r="I8">
        <v>1</v>
      </c>
      <c r="J8">
        <v>1</v>
      </c>
      <c r="K8">
        <v>1</v>
      </c>
      <c r="L8">
        <v>3</v>
      </c>
      <c r="M8">
        <v>0</v>
      </c>
      <c r="N8">
        <v>2</v>
      </c>
      <c r="O8">
        <v>2</v>
      </c>
      <c r="P8">
        <v>1</v>
      </c>
      <c r="Q8">
        <v>2</v>
      </c>
      <c r="R8">
        <v>2</v>
      </c>
      <c r="S8">
        <v>2</v>
      </c>
      <c r="T8">
        <v>1</v>
      </c>
      <c r="U8">
        <v>2</v>
      </c>
      <c r="V8">
        <v>1</v>
      </c>
      <c r="W8">
        <v>1</v>
      </c>
      <c r="X8" cm="1">
        <f t="array" ref="X8">SUM(INDEX(C8:W8, {1,2,3,5,6,7,8,9,10,14}))</f>
        <v>17</v>
      </c>
      <c r="Y8" cm="1">
        <f t="array" ref="Y8">SUM(INDEX(C8:W8, {4,11,12,13,17,19}))</f>
        <v>11</v>
      </c>
      <c r="Z8" cm="1">
        <f t="array" ref="Z8">SUM(INDEX(C8:W8, {15,16,18,20,21}))</f>
        <v>7</v>
      </c>
      <c r="AA8">
        <f t="shared" ref="AA8" si="4">SUM(C8:W8)</f>
        <v>35</v>
      </c>
      <c r="AB8">
        <v>51</v>
      </c>
      <c r="AC8">
        <v>2</v>
      </c>
      <c r="AD8">
        <v>26</v>
      </c>
      <c r="AE8">
        <v>16</v>
      </c>
    </row>
    <row r="9" spans="1:31" x14ac:dyDescent="0.2">
      <c r="A9" t="s">
        <v>65</v>
      </c>
      <c r="B9" t="s">
        <v>66</v>
      </c>
      <c r="C9">
        <v>3</v>
      </c>
      <c r="D9">
        <v>3</v>
      </c>
      <c r="E9">
        <v>3</v>
      </c>
      <c r="F9">
        <v>3</v>
      </c>
      <c r="G9">
        <v>2</v>
      </c>
      <c r="H9">
        <v>1</v>
      </c>
      <c r="I9">
        <v>3</v>
      </c>
      <c r="J9">
        <v>3</v>
      </c>
      <c r="K9">
        <v>3</v>
      </c>
      <c r="L9">
        <v>2</v>
      </c>
      <c r="M9">
        <v>2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2</v>
      </c>
      <c r="U9">
        <v>0</v>
      </c>
      <c r="V9">
        <v>3</v>
      </c>
      <c r="W9">
        <v>3</v>
      </c>
      <c r="X9" cm="1">
        <f t="array" ref="X9">SUM(INDEX(C9:W9, {1,2,3,5,6,7,8,9,10,14}))</f>
        <v>26</v>
      </c>
      <c r="Y9" cm="1">
        <f t="array" ref="Y9">SUM(INDEX(C9:W9, {4,11,12,13,17,19}))</f>
        <v>14</v>
      </c>
      <c r="Z9" cm="1">
        <f t="array" ref="Z9">SUM(INDEX(C9:W9, {15,16,18,20,21}))</f>
        <v>14</v>
      </c>
      <c r="AA9">
        <f t="shared" ref="AA9" si="5">SUM(C9:W9)</f>
        <v>54</v>
      </c>
      <c r="AB9">
        <v>20</v>
      </c>
      <c r="AC9">
        <v>2</v>
      </c>
      <c r="AD9">
        <v>6</v>
      </c>
      <c r="AE9">
        <v>12</v>
      </c>
    </row>
    <row r="10" spans="1:31" x14ac:dyDescent="0.2">
      <c r="A10" t="s">
        <v>68</v>
      </c>
      <c r="B10" t="s">
        <v>67</v>
      </c>
      <c r="C10">
        <v>1</v>
      </c>
      <c r="D10">
        <v>3</v>
      </c>
      <c r="E10">
        <v>1</v>
      </c>
      <c r="F10">
        <v>1</v>
      </c>
      <c r="G10">
        <v>3</v>
      </c>
      <c r="H10">
        <v>1</v>
      </c>
      <c r="I10">
        <v>2</v>
      </c>
      <c r="J10">
        <v>0</v>
      </c>
      <c r="K10">
        <v>1</v>
      </c>
      <c r="L10">
        <v>1</v>
      </c>
      <c r="M10">
        <v>2</v>
      </c>
      <c r="N10">
        <v>2</v>
      </c>
      <c r="O10">
        <v>0</v>
      </c>
      <c r="P10">
        <v>2</v>
      </c>
      <c r="Q10">
        <v>0</v>
      </c>
      <c r="R10">
        <v>2</v>
      </c>
      <c r="S10">
        <v>0</v>
      </c>
      <c r="T10">
        <v>0</v>
      </c>
      <c r="U10">
        <v>0</v>
      </c>
      <c r="V10">
        <v>1</v>
      </c>
      <c r="W10">
        <v>1</v>
      </c>
      <c r="X10" cm="1">
        <f t="array" ref="X10">SUM(INDEX(C10:W10, {1,2,3,5,6,7,8,9,10,14}))</f>
        <v>15</v>
      </c>
      <c r="Y10" cm="1">
        <f t="array" ref="Y10">SUM(INDEX(C10:W10, {4,11,12,13,17,19}))</f>
        <v>5</v>
      </c>
      <c r="Z10" cm="1">
        <f t="array" ref="Z10">SUM(INDEX(C10:W10, {15,16,18,20,21}))</f>
        <v>4</v>
      </c>
      <c r="AA10">
        <f t="shared" ref="AA10:AA11" si="6">SUM(C10:W10)</f>
        <v>24</v>
      </c>
      <c r="AB10">
        <v>54</v>
      </c>
      <c r="AC10">
        <v>1</v>
      </c>
      <c r="AD10">
        <v>29</v>
      </c>
      <c r="AE10">
        <v>12</v>
      </c>
    </row>
    <row r="11" spans="1:31" x14ac:dyDescent="0.2">
      <c r="A11" t="s">
        <v>75</v>
      </c>
      <c r="B11" t="s">
        <v>76</v>
      </c>
      <c r="C11">
        <v>3</v>
      </c>
      <c r="D11">
        <v>3</v>
      </c>
      <c r="E11">
        <v>0</v>
      </c>
      <c r="F11">
        <v>2</v>
      </c>
      <c r="G11">
        <v>1</v>
      </c>
      <c r="H11">
        <v>0</v>
      </c>
      <c r="I11">
        <v>2</v>
      </c>
      <c r="J11">
        <v>1</v>
      </c>
      <c r="K11">
        <v>1</v>
      </c>
      <c r="L11">
        <v>0</v>
      </c>
      <c r="M11">
        <v>1</v>
      </c>
      <c r="N11">
        <v>3</v>
      </c>
      <c r="O11">
        <v>2</v>
      </c>
      <c r="P11">
        <v>2</v>
      </c>
      <c r="Q11">
        <v>3</v>
      </c>
      <c r="R11">
        <v>0</v>
      </c>
      <c r="S11">
        <v>3</v>
      </c>
      <c r="T11">
        <v>0</v>
      </c>
      <c r="U11">
        <v>0</v>
      </c>
      <c r="V11">
        <v>0</v>
      </c>
      <c r="W11">
        <v>3</v>
      </c>
      <c r="X11" cm="1">
        <f t="array" ref="X11">SUM(INDEX(C11:W11, {1,2,3,5,6,7,8,9,10,14}))</f>
        <v>13</v>
      </c>
      <c r="Y11" cm="1">
        <f t="array" ref="Y11">SUM(INDEX(C11:W11, {4,11,12,13,17,19}))</f>
        <v>11</v>
      </c>
      <c r="Z11" cm="1">
        <f t="array" ref="Z11">SUM(INDEX(C11:W11, {15,16,18,20,21}))</f>
        <v>6</v>
      </c>
      <c r="AA11">
        <f t="shared" si="6"/>
        <v>30</v>
      </c>
      <c r="AB11">
        <v>26</v>
      </c>
      <c r="AC11">
        <v>2</v>
      </c>
      <c r="AD11">
        <v>12</v>
      </c>
      <c r="AE11">
        <v>12</v>
      </c>
    </row>
    <row r="12" spans="1:31" x14ac:dyDescent="0.2">
      <c r="A12" t="s">
        <v>63</v>
      </c>
      <c r="B12" t="s">
        <v>64</v>
      </c>
      <c r="C12">
        <v>3</v>
      </c>
      <c r="D12">
        <v>3</v>
      </c>
      <c r="E12">
        <v>0</v>
      </c>
      <c r="F12">
        <v>3</v>
      </c>
      <c r="G12">
        <v>1</v>
      </c>
      <c r="H12">
        <v>1</v>
      </c>
      <c r="I12">
        <v>1</v>
      </c>
      <c r="J12">
        <v>3</v>
      </c>
      <c r="K12">
        <v>0</v>
      </c>
      <c r="L12">
        <v>3</v>
      </c>
      <c r="M12">
        <v>0</v>
      </c>
      <c r="N12">
        <v>3</v>
      </c>
      <c r="O12">
        <v>3</v>
      </c>
      <c r="P12">
        <v>2</v>
      </c>
      <c r="Q12">
        <v>3</v>
      </c>
      <c r="R12">
        <v>1</v>
      </c>
      <c r="S12">
        <v>3</v>
      </c>
      <c r="T12">
        <v>3</v>
      </c>
      <c r="U12">
        <v>2</v>
      </c>
      <c r="V12">
        <v>3</v>
      </c>
      <c r="W12">
        <v>3</v>
      </c>
      <c r="X12" cm="1">
        <f t="array" ref="X12">SUM(INDEX(C12:W12, {1,2,3,5,6,7,8,9,10,14}))</f>
        <v>17</v>
      </c>
      <c r="Y12" cm="1">
        <f t="array" ref="Y12">SUM(INDEX(C12:W12, {4,11,12,13,17,19}))</f>
        <v>14</v>
      </c>
      <c r="Z12" cm="1">
        <f t="array" ref="Z12">SUM(INDEX(C12:W12, {15,16,18,20,21}))</f>
        <v>13</v>
      </c>
      <c r="AA12">
        <f t="shared" ref="AA12" si="7">SUM(C12:W12)</f>
        <v>44</v>
      </c>
      <c r="AB12">
        <v>54</v>
      </c>
      <c r="AC12">
        <v>1</v>
      </c>
      <c r="AD12">
        <v>30</v>
      </c>
      <c r="AE12">
        <v>14</v>
      </c>
    </row>
    <row r="13" spans="1:31" x14ac:dyDescent="0.2">
      <c r="A13" t="s">
        <v>59</v>
      </c>
      <c r="B13" t="s">
        <v>60</v>
      </c>
      <c r="C13">
        <v>0</v>
      </c>
      <c r="D13">
        <v>3</v>
      </c>
      <c r="E13">
        <v>1</v>
      </c>
      <c r="F13">
        <v>3</v>
      </c>
      <c r="G13">
        <v>3</v>
      </c>
      <c r="H13">
        <v>3</v>
      </c>
      <c r="I13">
        <v>2</v>
      </c>
      <c r="J13">
        <v>3</v>
      </c>
      <c r="K13">
        <v>1</v>
      </c>
      <c r="L13">
        <v>3</v>
      </c>
      <c r="M13">
        <v>1</v>
      </c>
      <c r="N13">
        <v>3</v>
      </c>
      <c r="O13">
        <v>2</v>
      </c>
      <c r="P13">
        <v>2</v>
      </c>
      <c r="Q13">
        <v>3</v>
      </c>
      <c r="R13">
        <v>1</v>
      </c>
      <c r="S13">
        <v>2</v>
      </c>
      <c r="T13">
        <v>1</v>
      </c>
      <c r="U13">
        <v>0</v>
      </c>
      <c r="V13">
        <v>0</v>
      </c>
      <c r="W13">
        <v>1</v>
      </c>
      <c r="X13" cm="1">
        <f t="array" ref="X13">SUM(INDEX(C13:W13, {1,2,3,5,6,7,8,9,10,14}))</f>
        <v>21</v>
      </c>
      <c r="Y13" cm="1">
        <f t="array" ref="Y13">SUM(INDEX(C13:W13, {4,11,12,13,17,19}))</f>
        <v>11</v>
      </c>
      <c r="Z13" cm="1">
        <f t="array" ref="Z13">SUM(INDEX(C13:W13, {15,16,18,20,21}))</f>
        <v>6</v>
      </c>
      <c r="AA13">
        <f t="shared" ref="AA13:AA37" si="8">SUM(C13:W13)</f>
        <v>38</v>
      </c>
      <c r="AB13">
        <v>40</v>
      </c>
      <c r="AC13">
        <v>1</v>
      </c>
      <c r="AD13">
        <v>5</v>
      </c>
      <c r="AE13">
        <v>12</v>
      </c>
    </row>
    <row r="14" spans="1:31" x14ac:dyDescent="0.2">
      <c r="A14" t="s">
        <v>102</v>
      </c>
      <c r="B14" t="s">
        <v>103</v>
      </c>
      <c r="C14">
        <v>2</v>
      </c>
      <c r="D14">
        <v>1</v>
      </c>
      <c r="E14">
        <v>0</v>
      </c>
      <c r="F14">
        <v>2</v>
      </c>
      <c r="G14">
        <v>1</v>
      </c>
      <c r="H14">
        <v>0</v>
      </c>
      <c r="I14">
        <v>1</v>
      </c>
      <c r="J14">
        <v>1</v>
      </c>
      <c r="K14">
        <v>0</v>
      </c>
      <c r="L14">
        <v>3</v>
      </c>
      <c r="M14">
        <v>3</v>
      </c>
      <c r="N14">
        <v>1</v>
      </c>
      <c r="O14">
        <v>1</v>
      </c>
      <c r="P14">
        <v>1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3</v>
      </c>
      <c r="X14" cm="1">
        <f t="array" ref="X14">SUM(INDEX(C14:W14, {1,2,3,5,6,7,8,9,10,14}))</f>
        <v>10</v>
      </c>
      <c r="Y14" cm="1">
        <f t="array" ref="Y14">SUM(INDEX(C14:W14, {4,11,12,13,17,19}))</f>
        <v>8</v>
      </c>
      <c r="Z14" cm="1">
        <f t="array" ref="Z14">SUM(INDEX(C14:W14, {15,16,18,20,21}))</f>
        <v>4</v>
      </c>
      <c r="AA14">
        <f t="shared" si="8"/>
        <v>22</v>
      </c>
      <c r="AB14">
        <v>52</v>
      </c>
      <c r="AC14">
        <v>2</v>
      </c>
      <c r="AD14">
        <v>15</v>
      </c>
      <c r="AE14">
        <v>18</v>
      </c>
    </row>
    <row r="15" spans="1:31" x14ac:dyDescent="0.2">
      <c r="A15" t="s">
        <v>70</v>
      </c>
      <c r="B15" t="s">
        <v>69</v>
      </c>
      <c r="C15">
        <v>2</v>
      </c>
      <c r="D15">
        <v>3</v>
      </c>
      <c r="E15">
        <v>1</v>
      </c>
      <c r="F15">
        <v>2</v>
      </c>
      <c r="G15">
        <v>2</v>
      </c>
      <c r="H15">
        <v>2</v>
      </c>
      <c r="I15">
        <v>2</v>
      </c>
      <c r="J15">
        <v>1</v>
      </c>
      <c r="K15">
        <v>1</v>
      </c>
      <c r="L15">
        <v>1</v>
      </c>
      <c r="M15">
        <v>1</v>
      </c>
      <c r="N15">
        <v>2</v>
      </c>
      <c r="O15">
        <v>1</v>
      </c>
      <c r="P15">
        <v>1</v>
      </c>
      <c r="Q15">
        <v>1</v>
      </c>
      <c r="R15">
        <v>1</v>
      </c>
      <c r="S15">
        <v>0</v>
      </c>
      <c r="T15">
        <v>0</v>
      </c>
      <c r="U15">
        <v>1</v>
      </c>
      <c r="V15">
        <v>1</v>
      </c>
      <c r="W15">
        <v>1</v>
      </c>
      <c r="X15" cm="1">
        <f t="array" ref="X15">SUM(INDEX(C15:W15, {1,2,3,5,6,7,8,9,10,14}))</f>
        <v>16</v>
      </c>
      <c r="Y15" cm="1">
        <f t="array" ref="Y15">SUM(INDEX(C15:W15, {4,11,12,13,17,19}))</f>
        <v>7</v>
      </c>
      <c r="Z15" cm="1">
        <f t="array" ref="Z15">SUM(INDEX(C15:W15, {15,16,18,20,21}))</f>
        <v>4</v>
      </c>
      <c r="AA15">
        <f t="shared" si="8"/>
        <v>27</v>
      </c>
      <c r="AB15">
        <v>34</v>
      </c>
      <c r="AC15">
        <v>2</v>
      </c>
      <c r="AD15">
        <v>13</v>
      </c>
      <c r="AE15">
        <v>16</v>
      </c>
    </row>
    <row r="16" spans="1:31" x14ac:dyDescent="0.2">
      <c r="A16" t="s">
        <v>73</v>
      </c>
      <c r="B16" t="s">
        <v>74</v>
      </c>
      <c r="C16">
        <v>1</v>
      </c>
      <c r="D16">
        <v>2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1</v>
      </c>
      <c r="V16">
        <v>0</v>
      </c>
      <c r="W16">
        <v>1</v>
      </c>
      <c r="X16" cm="1">
        <f t="array" ref="X16">SUM(INDEX(C16:W16, {1,2,3,5,6,7,8,9,10,14}))</f>
        <v>6</v>
      </c>
      <c r="Y16" cm="1">
        <f t="array" ref="Y16">SUM(INDEX(C16:W16, {4,11,12,13,17,19}))</f>
        <v>2</v>
      </c>
      <c r="Z16" cm="1">
        <f t="array" ref="Z16">SUM(INDEX(C16:W16, {15,16,18,20,21}))</f>
        <v>2</v>
      </c>
      <c r="AA16">
        <f t="shared" si="8"/>
        <v>10</v>
      </c>
      <c r="AB16">
        <v>23</v>
      </c>
      <c r="AC16">
        <v>2</v>
      </c>
      <c r="AD16">
        <v>1</v>
      </c>
      <c r="AE16">
        <v>12</v>
      </c>
    </row>
    <row r="17" spans="1:31" x14ac:dyDescent="0.2">
      <c r="A17" t="s">
        <v>104</v>
      </c>
      <c r="B17" t="s">
        <v>105</v>
      </c>
      <c r="C17">
        <v>1</v>
      </c>
      <c r="D17">
        <v>1</v>
      </c>
      <c r="E17">
        <v>1</v>
      </c>
      <c r="F17">
        <v>1</v>
      </c>
      <c r="G17">
        <v>1</v>
      </c>
      <c r="H17">
        <v>3</v>
      </c>
      <c r="I17">
        <v>2</v>
      </c>
      <c r="J17">
        <v>1</v>
      </c>
      <c r="K17">
        <v>1</v>
      </c>
      <c r="L17">
        <v>1</v>
      </c>
      <c r="M17">
        <v>2</v>
      </c>
      <c r="N17">
        <v>0</v>
      </c>
      <c r="O17">
        <v>2</v>
      </c>
      <c r="P17">
        <v>1</v>
      </c>
      <c r="Q17">
        <v>3</v>
      </c>
      <c r="R17">
        <v>1</v>
      </c>
      <c r="S17">
        <v>1</v>
      </c>
      <c r="T17">
        <v>0</v>
      </c>
      <c r="U17">
        <v>0</v>
      </c>
      <c r="V17">
        <v>1</v>
      </c>
      <c r="W17">
        <v>1</v>
      </c>
      <c r="X17" cm="1">
        <f t="array" ref="X17">SUM(INDEX(C17:W17, {1,2,3,5,6,7,8,9,10,14}))</f>
        <v>13</v>
      </c>
      <c r="Y17" cm="1">
        <f t="array" ref="Y17">SUM(INDEX(C17:W17, {4,11,12,13,17,19}))</f>
        <v>6</v>
      </c>
      <c r="Z17" cm="1">
        <f t="array" ref="Z17">SUM(INDEX(C17:W17, {15,16,18,20,21}))</f>
        <v>6</v>
      </c>
      <c r="AA17">
        <f t="shared" ref="AA17" si="9">SUM(C17:W17)</f>
        <v>25</v>
      </c>
      <c r="AB17">
        <v>31</v>
      </c>
      <c r="AC17">
        <v>1</v>
      </c>
      <c r="AD17">
        <v>2</v>
      </c>
      <c r="AE17">
        <v>16</v>
      </c>
    </row>
    <row r="18" spans="1:31" x14ac:dyDescent="0.2">
      <c r="A18" t="s">
        <v>62</v>
      </c>
      <c r="B18" t="s">
        <v>61</v>
      </c>
      <c r="C18">
        <v>2</v>
      </c>
      <c r="D18">
        <v>3</v>
      </c>
      <c r="E18">
        <v>3</v>
      </c>
      <c r="F18">
        <v>3</v>
      </c>
      <c r="G18">
        <v>3</v>
      </c>
      <c r="H18">
        <v>2</v>
      </c>
      <c r="I18">
        <v>3</v>
      </c>
      <c r="J18">
        <v>3</v>
      </c>
      <c r="K18">
        <v>1</v>
      </c>
      <c r="L18">
        <v>3</v>
      </c>
      <c r="M18">
        <v>3</v>
      </c>
      <c r="N18">
        <v>3</v>
      </c>
      <c r="O18">
        <v>3</v>
      </c>
      <c r="P18">
        <v>3</v>
      </c>
      <c r="Q18">
        <v>3</v>
      </c>
      <c r="R18">
        <v>1</v>
      </c>
      <c r="S18">
        <v>3</v>
      </c>
      <c r="T18">
        <v>3</v>
      </c>
      <c r="U18">
        <v>0</v>
      </c>
      <c r="V18">
        <v>2</v>
      </c>
      <c r="W18">
        <v>2</v>
      </c>
      <c r="X18" cm="1">
        <f t="array" ref="X18">SUM(INDEX(C18:W18, {1,2,3,5,6,7,8,9,10,14}))</f>
        <v>26</v>
      </c>
      <c r="Y18" cm="1">
        <f t="array" ref="Y18">SUM(INDEX(C18:W18, {4,11,12,13,17,19}))</f>
        <v>15</v>
      </c>
      <c r="Z18" cm="1">
        <f t="array" ref="Z18">SUM(INDEX(C18:W18, {15,16,18,20,21}))</f>
        <v>11</v>
      </c>
      <c r="AA18">
        <f t="shared" ref="AA18" si="10">SUM(C18:W18)</f>
        <v>52</v>
      </c>
      <c r="AB18">
        <v>19</v>
      </c>
      <c r="AC18">
        <v>2</v>
      </c>
      <c r="AD18">
        <v>5</v>
      </c>
      <c r="AE18">
        <v>12</v>
      </c>
    </row>
    <row r="19" spans="1:31" x14ac:dyDescent="0.2">
      <c r="A19" t="s">
        <v>106</v>
      </c>
      <c r="B19" t="s">
        <v>107</v>
      </c>
      <c r="C19">
        <v>2</v>
      </c>
      <c r="D19">
        <v>3</v>
      </c>
      <c r="E19">
        <v>0</v>
      </c>
      <c r="F19">
        <v>2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2</v>
      </c>
      <c r="N19">
        <v>2</v>
      </c>
      <c r="O19">
        <v>0</v>
      </c>
      <c r="P19">
        <v>2</v>
      </c>
      <c r="Q19">
        <v>1</v>
      </c>
      <c r="R19">
        <v>1</v>
      </c>
      <c r="S19">
        <v>0</v>
      </c>
      <c r="T19">
        <v>0</v>
      </c>
      <c r="U19">
        <v>2</v>
      </c>
      <c r="V19">
        <v>2</v>
      </c>
      <c r="W19">
        <v>0</v>
      </c>
      <c r="X19" cm="1">
        <f t="array" ref="X19">SUM(INDEX(C19:W19, {1,2,3,5,6,7,8,9,10,14}))</f>
        <v>13</v>
      </c>
      <c r="Y19" cm="1">
        <f t="array" ref="Y19">SUM(INDEX(C19:W19, {4,11,12,13,17,19}))</f>
        <v>8</v>
      </c>
      <c r="Z19" cm="1">
        <f t="array" ref="Z19">SUM(INDEX(C19:W19, {15,16,18,20,21}))</f>
        <v>4</v>
      </c>
      <c r="AA19">
        <f t="shared" ref="AA19" si="11">SUM(C19:W19)</f>
        <v>25</v>
      </c>
      <c r="AB19">
        <v>30</v>
      </c>
      <c r="AC19">
        <v>1</v>
      </c>
      <c r="AD19">
        <v>4</v>
      </c>
      <c r="AE19">
        <v>8</v>
      </c>
    </row>
    <row r="20" spans="1:31" x14ac:dyDescent="0.2">
      <c r="A20" t="s">
        <v>108</v>
      </c>
      <c r="B20" t="s">
        <v>109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0</v>
      </c>
      <c r="L20">
        <v>1</v>
      </c>
      <c r="M20">
        <v>1</v>
      </c>
      <c r="N20">
        <v>1</v>
      </c>
      <c r="O20">
        <v>2</v>
      </c>
      <c r="P20">
        <v>1</v>
      </c>
      <c r="Q20">
        <v>1</v>
      </c>
      <c r="R20">
        <v>0</v>
      </c>
      <c r="S20">
        <v>2</v>
      </c>
      <c r="T20">
        <v>0</v>
      </c>
      <c r="U20">
        <v>0</v>
      </c>
      <c r="V20">
        <v>0</v>
      </c>
      <c r="W20">
        <v>2</v>
      </c>
      <c r="X20" cm="1">
        <f t="array" ref="X20">SUM(INDEX(C20:W20, {1,2,3,5,6,7,8,9,10,14}))</f>
        <v>8</v>
      </c>
      <c r="Y20" cm="1">
        <f t="array" ref="Y20">SUM(INDEX(C20:W20, {4,11,12,13,17,19}))</f>
        <v>7</v>
      </c>
      <c r="Z20" cm="1">
        <f t="array" ref="Z20">SUM(INDEX(C20:W20, {15,16,18,20,21}))</f>
        <v>3</v>
      </c>
      <c r="AA20">
        <f t="shared" ref="AA20" si="12">SUM(C20:W20)</f>
        <v>18</v>
      </c>
      <c r="AB20">
        <v>30</v>
      </c>
      <c r="AC20">
        <v>2</v>
      </c>
      <c r="AD20">
        <v>6</v>
      </c>
      <c r="AE20">
        <v>12</v>
      </c>
    </row>
    <row r="21" spans="1:31" x14ac:dyDescent="0.2">
      <c r="A21" t="s">
        <v>110</v>
      </c>
      <c r="B21" t="s">
        <v>111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  <c r="L21">
        <v>3</v>
      </c>
      <c r="M21">
        <v>0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  <c r="V21">
        <v>0</v>
      </c>
      <c r="W21">
        <v>1</v>
      </c>
      <c r="X21" cm="1">
        <f t="array" ref="X21">SUM(INDEX(C21:W21, {1,2,3,5,6,7,8,9,10,14}))</f>
        <v>6</v>
      </c>
      <c r="Y21" cm="1">
        <f t="array" ref="Y21">SUM(INDEX(C21:W21, {4,11,12,13,17,19}))</f>
        <v>4</v>
      </c>
      <c r="Z21" cm="1">
        <f t="array" ref="Z21">SUM(INDEX(C21:W21, {15,16,18,20,21}))</f>
        <v>3</v>
      </c>
      <c r="AA21">
        <f t="shared" ref="AA21" si="13">SUM(C21:W21)</f>
        <v>13</v>
      </c>
      <c r="AB21">
        <v>47</v>
      </c>
      <c r="AC21">
        <v>1</v>
      </c>
      <c r="AD21">
        <v>25</v>
      </c>
      <c r="AE21">
        <v>18</v>
      </c>
    </row>
    <row r="22" spans="1:31" x14ac:dyDescent="0.2">
      <c r="A22" t="s">
        <v>56</v>
      </c>
      <c r="B22" t="s">
        <v>55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</v>
      </c>
      <c r="W22">
        <v>0</v>
      </c>
      <c r="X22" cm="1">
        <f t="array" ref="X22">SUM(INDEX(C22:W22, {1,2,3,5,6,7,8,9,10,14}))</f>
        <v>0</v>
      </c>
      <c r="Y22" cm="1">
        <f t="array" ref="Y22">SUM(INDEX(C22:W22, {4,11,12,13,17,19}))</f>
        <v>0</v>
      </c>
      <c r="Z22" cm="1">
        <f t="array" ref="Z22">SUM(INDEX(C22:W22, {15,16,18,20,21}))</f>
        <v>3</v>
      </c>
      <c r="AA22">
        <f t="shared" si="8"/>
        <v>3</v>
      </c>
      <c r="AB22">
        <v>39</v>
      </c>
      <c r="AC22">
        <v>2</v>
      </c>
      <c r="AD22">
        <v>18</v>
      </c>
      <c r="AE22">
        <v>8</v>
      </c>
    </row>
    <row r="23" spans="1:31" x14ac:dyDescent="0.2">
      <c r="A23" t="s">
        <v>90</v>
      </c>
      <c r="B23" t="s">
        <v>91</v>
      </c>
      <c r="C23">
        <v>1</v>
      </c>
      <c r="D23">
        <v>1</v>
      </c>
      <c r="E23">
        <v>0</v>
      </c>
      <c r="F23">
        <v>1</v>
      </c>
      <c r="G23">
        <v>2</v>
      </c>
      <c r="H23">
        <v>1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2</v>
      </c>
      <c r="S23">
        <v>0</v>
      </c>
      <c r="T23">
        <v>0</v>
      </c>
      <c r="U23">
        <v>0</v>
      </c>
      <c r="V23">
        <v>3</v>
      </c>
      <c r="W23">
        <v>0</v>
      </c>
      <c r="X23" cm="1">
        <f t="array" ref="X23">SUM(INDEX(C23:W23, {1,2,3,5,6,7,8,9,10,14}))</f>
        <v>9</v>
      </c>
      <c r="Y23" cm="1">
        <f t="array" ref="Y23">SUM(INDEX(C23:W23, {4,11,12,13,17,19}))</f>
        <v>4</v>
      </c>
      <c r="Z23" cm="1">
        <f t="array" ref="Z23">SUM(INDEX(C23:W23, {15,16,18,20,21}))</f>
        <v>6</v>
      </c>
      <c r="AA23">
        <f t="shared" si="8"/>
        <v>19</v>
      </c>
      <c r="AB23">
        <v>55</v>
      </c>
      <c r="AC23">
        <v>2</v>
      </c>
      <c r="AD23">
        <v>8</v>
      </c>
      <c r="AE23">
        <v>16</v>
      </c>
    </row>
    <row r="24" spans="1:31" x14ac:dyDescent="0.2">
      <c r="A24" t="s">
        <v>39</v>
      </c>
      <c r="B24" t="s">
        <v>40</v>
      </c>
      <c r="C24">
        <v>1</v>
      </c>
      <c r="D24">
        <v>2</v>
      </c>
      <c r="E24">
        <v>2</v>
      </c>
      <c r="F24">
        <v>2</v>
      </c>
      <c r="G24">
        <v>1</v>
      </c>
      <c r="H24">
        <v>3</v>
      </c>
      <c r="I24">
        <v>1</v>
      </c>
      <c r="J24">
        <v>1</v>
      </c>
      <c r="K24">
        <v>2</v>
      </c>
      <c r="L24">
        <v>2</v>
      </c>
      <c r="M24">
        <v>2</v>
      </c>
      <c r="N24">
        <v>1</v>
      </c>
      <c r="O24">
        <v>2</v>
      </c>
      <c r="P24">
        <v>1</v>
      </c>
      <c r="Q24">
        <v>1</v>
      </c>
      <c r="R24">
        <v>1</v>
      </c>
      <c r="S24">
        <v>1</v>
      </c>
      <c r="T24">
        <v>1</v>
      </c>
      <c r="U24">
        <v>0</v>
      </c>
      <c r="V24">
        <v>2</v>
      </c>
      <c r="W24">
        <v>3</v>
      </c>
      <c r="X24" cm="1">
        <f t="array" ref="X24">SUM(INDEX(C24:W24, {1,2,3,5,6,7,8,9,10,14}))</f>
        <v>16</v>
      </c>
      <c r="Y24" cm="1">
        <f t="array" ref="Y24">SUM(INDEX(C24:W24, {4,11,12,13,17,19}))</f>
        <v>8</v>
      </c>
      <c r="Z24" cm="1">
        <f t="array" ref="Z24">SUM(INDEX(C24:W24, {15,16,18,20,21}))</f>
        <v>8</v>
      </c>
      <c r="AA24">
        <f t="shared" si="8"/>
        <v>32</v>
      </c>
      <c r="AB24">
        <v>42</v>
      </c>
      <c r="AC24">
        <v>2</v>
      </c>
      <c r="AD24">
        <v>22</v>
      </c>
      <c r="AE24">
        <v>8</v>
      </c>
    </row>
    <row r="25" spans="1:31" x14ac:dyDescent="0.2">
      <c r="A25" t="s">
        <v>37</v>
      </c>
      <c r="B25" t="s">
        <v>38</v>
      </c>
      <c r="C25">
        <v>1</v>
      </c>
      <c r="D25">
        <v>1</v>
      </c>
      <c r="E25">
        <v>1</v>
      </c>
      <c r="F25">
        <v>2</v>
      </c>
      <c r="G25">
        <v>1</v>
      </c>
      <c r="H25">
        <v>1</v>
      </c>
      <c r="I25">
        <v>2</v>
      </c>
      <c r="J25">
        <v>1</v>
      </c>
      <c r="K25">
        <v>3</v>
      </c>
      <c r="L25">
        <v>2</v>
      </c>
      <c r="M25">
        <v>2</v>
      </c>
      <c r="N25">
        <v>1</v>
      </c>
      <c r="O25">
        <v>1</v>
      </c>
      <c r="P25">
        <v>1</v>
      </c>
      <c r="Q25">
        <v>1</v>
      </c>
      <c r="R25">
        <v>2</v>
      </c>
      <c r="S25">
        <v>2</v>
      </c>
      <c r="T25">
        <v>3</v>
      </c>
      <c r="U25">
        <v>1</v>
      </c>
      <c r="V25">
        <v>1</v>
      </c>
      <c r="W25">
        <v>3</v>
      </c>
      <c r="X25" cm="1">
        <f t="array" ref="X25">SUM(INDEX(C25:W25, {1,2,3,5,6,7,8,9,10,14}))</f>
        <v>14</v>
      </c>
      <c r="Y25" cm="1">
        <f t="array" ref="Y25">SUM(INDEX(C25:W25, {4,11,12,13,17,19}))</f>
        <v>9</v>
      </c>
      <c r="Z25" cm="1">
        <f t="array" ref="Z25">SUM(INDEX(C25:W25, {15,16,18,20,21}))</f>
        <v>10</v>
      </c>
      <c r="AA25">
        <f t="shared" si="8"/>
        <v>33</v>
      </c>
      <c r="AB25">
        <v>24</v>
      </c>
      <c r="AC25">
        <v>1</v>
      </c>
      <c r="AD25">
        <v>4</v>
      </c>
      <c r="AE25">
        <v>12</v>
      </c>
    </row>
    <row r="26" spans="1:31" x14ac:dyDescent="0.2">
      <c r="A26" t="s">
        <v>80</v>
      </c>
      <c r="B26" t="s">
        <v>79</v>
      </c>
      <c r="C26">
        <v>2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3</v>
      </c>
      <c r="M26">
        <v>1</v>
      </c>
      <c r="N26">
        <v>2</v>
      </c>
      <c r="O26">
        <v>0</v>
      </c>
      <c r="P26">
        <v>2</v>
      </c>
      <c r="Q26">
        <v>1</v>
      </c>
      <c r="R26">
        <v>3</v>
      </c>
      <c r="S26">
        <v>2</v>
      </c>
      <c r="T26">
        <v>1</v>
      </c>
      <c r="U26">
        <v>1</v>
      </c>
      <c r="V26">
        <v>1</v>
      </c>
      <c r="W26">
        <v>0</v>
      </c>
      <c r="X26" cm="1">
        <f t="array" ref="X26">SUM(INDEX(C26:W26, {1,2,3,5,6,7,8,9,10,14}))</f>
        <v>14</v>
      </c>
      <c r="Y26" cm="1">
        <f t="array" ref="Y26">SUM(INDEX(C26:W26, {4,11,12,13,17,19}))</f>
        <v>7</v>
      </c>
      <c r="Z26" cm="1">
        <f t="array" ref="Z26">SUM(INDEX(C26:W26, {15,16,18,20,21}))</f>
        <v>6</v>
      </c>
      <c r="AA26">
        <f t="shared" si="8"/>
        <v>27</v>
      </c>
      <c r="AB26">
        <v>21</v>
      </c>
      <c r="AC26">
        <v>1</v>
      </c>
      <c r="AD26">
        <v>4</v>
      </c>
      <c r="AE26">
        <v>12</v>
      </c>
    </row>
    <row r="27" spans="1:31" x14ac:dyDescent="0.2">
      <c r="A27" t="s">
        <v>81</v>
      </c>
      <c r="B27" t="s">
        <v>82</v>
      </c>
      <c r="C27">
        <v>3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  <c r="P27">
        <v>0</v>
      </c>
      <c r="Q27">
        <v>3</v>
      </c>
      <c r="R27">
        <v>2</v>
      </c>
      <c r="S27">
        <v>3</v>
      </c>
      <c r="T27">
        <v>0</v>
      </c>
      <c r="U27">
        <v>0</v>
      </c>
      <c r="V27">
        <v>0</v>
      </c>
      <c r="W27">
        <v>0</v>
      </c>
      <c r="X27" cm="1">
        <f t="array" ref="X27">SUM(INDEX(C27:W27, {1,2,3,5,6,7,8,9,10,14}))</f>
        <v>27</v>
      </c>
      <c r="Y27" cm="1">
        <f t="array" ref="Y27">SUM(INDEX(C27:W27, {4,11,12,13,17,19}))</f>
        <v>15</v>
      </c>
      <c r="Z27" cm="1">
        <f t="array" ref="Z27">SUM(INDEX(C27:W27, {15,16,18,20,21}))</f>
        <v>5</v>
      </c>
      <c r="AA27">
        <f t="shared" ref="AA27" si="14">SUM(C27:W27)</f>
        <v>47</v>
      </c>
      <c r="AB27">
        <v>41</v>
      </c>
      <c r="AC27">
        <v>2</v>
      </c>
      <c r="AD27">
        <v>9</v>
      </c>
      <c r="AE27">
        <v>18</v>
      </c>
    </row>
    <row r="28" spans="1:31" x14ac:dyDescent="0.2">
      <c r="A28" t="s">
        <v>30</v>
      </c>
      <c r="B28" t="s">
        <v>29</v>
      </c>
      <c r="C28">
        <v>2</v>
      </c>
      <c r="D28">
        <v>3</v>
      </c>
      <c r="E28">
        <v>3</v>
      </c>
      <c r="F28">
        <v>2</v>
      </c>
      <c r="G28">
        <v>2</v>
      </c>
      <c r="H28">
        <v>1</v>
      </c>
      <c r="I28">
        <v>3</v>
      </c>
      <c r="J28">
        <v>1</v>
      </c>
      <c r="K28">
        <v>3</v>
      </c>
      <c r="L28">
        <v>2</v>
      </c>
      <c r="M28">
        <v>2</v>
      </c>
      <c r="N28">
        <v>2</v>
      </c>
      <c r="O28">
        <v>1</v>
      </c>
      <c r="P28">
        <v>3</v>
      </c>
      <c r="Q28">
        <v>1</v>
      </c>
      <c r="R28">
        <v>3</v>
      </c>
      <c r="S28">
        <v>2</v>
      </c>
      <c r="T28">
        <v>0</v>
      </c>
      <c r="U28">
        <v>1</v>
      </c>
      <c r="V28">
        <v>3</v>
      </c>
      <c r="W28">
        <v>0</v>
      </c>
      <c r="X28" cm="1">
        <f t="array" ref="X28">SUM(INDEX(C28:W28, {1,2,3,5,6,7,8,9,10,14}))</f>
        <v>23</v>
      </c>
      <c r="Y28" cm="1">
        <f t="array" ref="Y28">SUM(INDEX(C28:W28, {4,11,12,13,17,19}))</f>
        <v>10</v>
      </c>
      <c r="Z28" cm="1">
        <f t="array" ref="Z28">SUM(INDEX(C28:W28, {15,16,18,20,21}))</f>
        <v>7</v>
      </c>
      <c r="AA28">
        <f t="shared" si="8"/>
        <v>40</v>
      </c>
      <c r="AB28">
        <v>43</v>
      </c>
      <c r="AC28">
        <v>2</v>
      </c>
      <c r="AD28">
        <v>5</v>
      </c>
      <c r="AE28">
        <v>11</v>
      </c>
    </row>
    <row r="29" spans="1:31" x14ac:dyDescent="0.2">
      <c r="A29" t="s">
        <v>28</v>
      </c>
      <c r="B29" t="s">
        <v>26</v>
      </c>
      <c r="C29">
        <v>2</v>
      </c>
      <c r="D29">
        <v>1</v>
      </c>
      <c r="E29">
        <v>2</v>
      </c>
      <c r="F29">
        <v>1</v>
      </c>
      <c r="G29">
        <v>1</v>
      </c>
      <c r="H29">
        <v>2</v>
      </c>
      <c r="I29">
        <v>1</v>
      </c>
      <c r="J29">
        <v>0</v>
      </c>
      <c r="K29">
        <v>3</v>
      </c>
      <c r="L29">
        <v>1</v>
      </c>
      <c r="M29">
        <v>1</v>
      </c>
      <c r="N29">
        <v>1</v>
      </c>
      <c r="O29">
        <v>1</v>
      </c>
      <c r="P29">
        <v>1</v>
      </c>
      <c r="Q29">
        <v>0</v>
      </c>
      <c r="R29">
        <v>1</v>
      </c>
      <c r="S29">
        <v>0</v>
      </c>
      <c r="T29">
        <v>0</v>
      </c>
      <c r="U29">
        <v>1</v>
      </c>
      <c r="V29">
        <v>2</v>
      </c>
      <c r="W29">
        <v>0</v>
      </c>
      <c r="X29" cm="1">
        <f t="array" ref="X29">SUM(INDEX(C29:W29, {1,2,3,5,6,7,8,9,10,14}))</f>
        <v>14</v>
      </c>
      <c r="Y29" cm="1">
        <f t="array" ref="Y29">SUM(INDEX(C29:W29, {4,11,12,13,17,19}))</f>
        <v>5</v>
      </c>
      <c r="Z29" cm="1">
        <f t="array" ref="Z29">SUM(INDEX(C29:W29, {15,16,18,20,21}))</f>
        <v>3</v>
      </c>
      <c r="AA29">
        <f t="shared" si="8"/>
        <v>22</v>
      </c>
      <c r="AB29">
        <v>50</v>
      </c>
      <c r="AC29">
        <v>2</v>
      </c>
      <c r="AD29">
        <v>20</v>
      </c>
      <c r="AE29">
        <v>14</v>
      </c>
    </row>
    <row r="30" spans="1:31" x14ac:dyDescent="0.2">
      <c r="A30" t="s">
        <v>51</v>
      </c>
      <c r="B30" t="s">
        <v>52</v>
      </c>
      <c r="C30">
        <v>2</v>
      </c>
      <c r="D30">
        <v>3</v>
      </c>
      <c r="E30">
        <v>3</v>
      </c>
      <c r="F30">
        <v>1</v>
      </c>
      <c r="G30">
        <v>2</v>
      </c>
      <c r="H30">
        <v>1</v>
      </c>
      <c r="I30">
        <v>1</v>
      </c>
      <c r="J30">
        <v>1</v>
      </c>
      <c r="K30">
        <v>1</v>
      </c>
      <c r="L30">
        <v>2</v>
      </c>
      <c r="M30">
        <v>3</v>
      </c>
      <c r="N30">
        <v>1</v>
      </c>
      <c r="O30">
        <v>2</v>
      </c>
      <c r="P30">
        <v>1</v>
      </c>
      <c r="Q30">
        <v>0</v>
      </c>
      <c r="R30">
        <v>2</v>
      </c>
      <c r="S30">
        <v>0</v>
      </c>
      <c r="T30">
        <v>0</v>
      </c>
      <c r="U30">
        <v>0</v>
      </c>
      <c r="V30">
        <v>3</v>
      </c>
      <c r="W30">
        <v>3</v>
      </c>
      <c r="X30" cm="1">
        <f t="array" ref="X30">SUM(INDEX(C30:W30, {1,2,3,5,6,7,8,9,10,14}))</f>
        <v>17</v>
      </c>
      <c r="Y30" cm="1">
        <f t="array" ref="Y30">SUM(INDEX(C30:W30, {4,11,12,13,17,19}))</f>
        <v>7</v>
      </c>
      <c r="Z30" cm="1">
        <f t="array" ref="Z30">SUM(INDEX(C30:W30, {15,16,18,20,21}))</f>
        <v>8</v>
      </c>
      <c r="AA30">
        <f t="shared" si="8"/>
        <v>32</v>
      </c>
      <c r="AB30">
        <v>33</v>
      </c>
      <c r="AC30">
        <v>2</v>
      </c>
      <c r="AD30">
        <v>9</v>
      </c>
      <c r="AE30">
        <v>8</v>
      </c>
    </row>
    <row r="31" spans="1:31" x14ac:dyDescent="0.2">
      <c r="A31" t="s">
        <v>53</v>
      </c>
      <c r="B31" t="s">
        <v>54</v>
      </c>
      <c r="C31">
        <v>1</v>
      </c>
      <c r="D31">
        <v>2</v>
      </c>
      <c r="E31">
        <v>1</v>
      </c>
      <c r="F31">
        <v>3</v>
      </c>
      <c r="G31">
        <v>1</v>
      </c>
      <c r="H31">
        <v>1</v>
      </c>
      <c r="I31">
        <v>1</v>
      </c>
      <c r="J31">
        <v>0</v>
      </c>
      <c r="K31">
        <v>1</v>
      </c>
      <c r="L31">
        <v>3</v>
      </c>
      <c r="M31">
        <v>2</v>
      </c>
      <c r="N31">
        <v>2</v>
      </c>
      <c r="O31">
        <v>3</v>
      </c>
      <c r="P31">
        <v>1</v>
      </c>
      <c r="Q31">
        <v>3</v>
      </c>
      <c r="R31">
        <v>3</v>
      </c>
      <c r="S31">
        <v>0</v>
      </c>
      <c r="T31">
        <v>0</v>
      </c>
      <c r="U31">
        <v>1</v>
      </c>
      <c r="V31">
        <v>3</v>
      </c>
      <c r="W31">
        <v>3</v>
      </c>
      <c r="X31" cm="1">
        <f t="array" ref="X31">SUM(INDEX(C31:W31, {1,2,3,5,6,7,8,9,10,14}))</f>
        <v>12</v>
      </c>
      <c r="Y31" cm="1">
        <f t="array" ref="Y31">SUM(INDEX(C31:W31, {4,11,12,13,17,19}))</f>
        <v>11</v>
      </c>
      <c r="Z31" cm="1">
        <f t="array" ref="Z31">SUM(INDEX(C31:W31, {15,16,18,20,21}))</f>
        <v>12</v>
      </c>
      <c r="AA31">
        <f t="shared" si="8"/>
        <v>35</v>
      </c>
      <c r="AB31">
        <v>42</v>
      </c>
      <c r="AC31">
        <v>2</v>
      </c>
      <c r="AD31">
        <v>14</v>
      </c>
      <c r="AE31">
        <v>12</v>
      </c>
    </row>
    <row r="32" spans="1:31" x14ac:dyDescent="0.2">
      <c r="A32" t="s">
        <v>33</v>
      </c>
      <c r="B32" t="s">
        <v>34</v>
      </c>
      <c r="C32">
        <v>1</v>
      </c>
      <c r="D32">
        <v>1</v>
      </c>
      <c r="E32">
        <v>2</v>
      </c>
      <c r="F32">
        <v>2</v>
      </c>
      <c r="G32">
        <v>1</v>
      </c>
      <c r="H32">
        <v>1</v>
      </c>
      <c r="I32">
        <v>3</v>
      </c>
      <c r="J32">
        <v>3</v>
      </c>
      <c r="K32">
        <v>1</v>
      </c>
      <c r="L32">
        <v>1</v>
      </c>
      <c r="M32">
        <v>1</v>
      </c>
      <c r="N32">
        <v>1</v>
      </c>
      <c r="O32">
        <v>2</v>
      </c>
      <c r="P32">
        <v>1</v>
      </c>
      <c r="Q32">
        <v>2</v>
      </c>
      <c r="R32">
        <v>1</v>
      </c>
      <c r="S32">
        <v>2</v>
      </c>
      <c r="T32">
        <v>0</v>
      </c>
      <c r="U32">
        <v>2</v>
      </c>
      <c r="V32">
        <v>1</v>
      </c>
      <c r="W32">
        <v>3</v>
      </c>
      <c r="X32" cm="1">
        <f t="array" ref="X32">SUM(INDEX(C32:W32, {1,2,3,5,6,7,8,9,10,14}))</f>
        <v>15</v>
      </c>
      <c r="Y32" cm="1">
        <f t="array" ref="Y32">SUM(INDEX(C32:W32, {4,11,12,13,17,19}))</f>
        <v>10</v>
      </c>
      <c r="Z32" cm="1">
        <f t="array" ref="Z32">SUM(INDEX(C32:W32, {15,16,18,20,21}))</f>
        <v>7</v>
      </c>
      <c r="AA32">
        <f>SUM(C32:W32)</f>
        <v>32</v>
      </c>
      <c r="AB32">
        <v>46</v>
      </c>
      <c r="AC32">
        <v>2</v>
      </c>
      <c r="AD32">
        <v>40</v>
      </c>
      <c r="AE32">
        <v>8</v>
      </c>
    </row>
    <row r="33" spans="1:31" x14ac:dyDescent="0.2">
      <c r="A33" t="s">
        <v>83</v>
      </c>
      <c r="B33" t="s">
        <v>84</v>
      </c>
      <c r="C33">
        <v>3</v>
      </c>
      <c r="D33">
        <v>3</v>
      </c>
      <c r="E33">
        <v>3</v>
      </c>
      <c r="F33">
        <v>3</v>
      </c>
      <c r="G33">
        <v>3</v>
      </c>
      <c r="H33">
        <v>0</v>
      </c>
      <c r="I33">
        <v>2</v>
      </c>
      <c r="J33">
        <v>1</v>
      </c>
      <c r="K33">
        <v>1</v>
      </c>
      <c r="L33">
        <v>1</v>
      </c>
      <c r="M33">
        <v>2</v>
      </c>
      <c r="N33">
        <v>3</v>
      </c>
      <c r="O33">
        <v>1</v>
      </c>
      <c r="P33">
        <v>2</v>
      </c>
      <c r="Q33">
        <v>2</v>
      </c>
      <c r="R33">
        <v>0</v>
      </c>
      <c r="S33">
        <v>3</v>
      </c>
      <c r="T33">
        <v>0</v>
      </c>
      <c r="U33">
        <v>3</v>
      </c>
      <c r="V33">
        <v>3</v>
      </c>
      <c r="W33">
        <v>2</v>
      </c>
      <c r="X33" cm="1">
        <f t="array" ref="X33">SUM(INDEX(C33:W33, {1,2,3,5,6,7,8,9,10,14}))</f>
        <v>19</v>
      </c>
      <c r="Y33" cm="1">
        <f t="array" ref="Y33">SUM(INDEX(C33:W33, {4,11,12,13,17,19}))</f>
        <v>15</v>
      </c>
      <c r="Z33" cm="1">
        <f t="array" ref="Z33">SUM(INDEX(C33:W33, {15,16,18,20,21}))</f>
        <v>7</v>
      </c>
      <c r="AA33">
        <f>SUM(C33:W33)</f>
        <v>41</v>
      </c>
      <c r="AB33">
        <v>43</v>
      </c>
      <c r="AC33">
        <v>2</v>
      </c>
      <c r="AD33">
        <v>10</v>
      </c>
      <c r="AE33">
        <v>8</v>
      </c>
    </row>
    <row r="34" spans="1:31" x14ac:dyDescent="0.2">
      <c r="A34" t="s">
        <v>85</v>
      </c>
      <c r="B34" t="s">
        <v>86</v>
      </c>
      <c r="C34">
        <v>3</v>
      </c>
      <c r="D34">
        <v>3</v>
      </c>
      <c r="E34">
        <v>0</v>
      </c>
      <c r="F34">
        <v>2</v>
      </c>
      <c r="G34">
        <v>3</v>
      </c>
      <c r="H34">
        <v>0</v>
      </c>
      <c r="I34">
        <v>3</v>
      </c>
      <c r="J34">
        <v>2</v>
      </c>
      <c r="K34">
        <v>3</v>
      </c>
      <c r="L34">
        <v>2</v>
      </c>
      <c r="M34">
        <v>0</v>
      </c>
      <c r="N34">
        <v>2</v>
      </c>
      <c r="O34">
        <v>3</v>
      </c>
      <c r="P34">
        <v>1</v>
      </c>
      <c r="Q34">
        <v>2</v>
      </c>
      <c r="R34">
        <v>0</v>
      </c>
      <c r="S34">
        <v>2</v>
      </c>
      <c r="T34">
        <v>0</v>
      </c>
      <c r="U34">
        <v>0</v>
      </c>
      <c r="V34">
        <v>0</v>
      </c>
      <c r="W34">
        <v>1</v>
      </c>
      <c r="X34" cm="1">
        <f t="array" ref="X34">SUM(INDEX(C34:W34, {1,2,3,5,6,7,8,9,10,14}))</f>
        <v>20</v>
      </c>
      <c r="Y34" cm="1">
        <f t="array" ref="Y34">SUM(INDEX(C34:W34, {4,11,12,13,17,19}))</f>
        <v>9</v>
      </c>
      <c r="Z34" cm="1">
        <f t="array" ref="Z34">SUM(INDEX(C34:W34, {15,16,18,20,21}))</f>
        <v>3</v>
      </c>
      <c r="AA34">
        <f>SUM(C34:W34)</f>
        <v>32</v>
      </c>
      <c r="AB34">
        <v>34</v>
      </c>
      <c r="AC34">
        <v>2</v>
      </c>
      <c r="AD34">
        <v>12</v>
      </c>
      <c r="AE34">
        <v>18</v>
      </c>
    </row>
    <row r="35" spans="1:31" x14ac:dyDescent="0.2">
      <c r="A35" t="s">
        <v>31</v>
      </c>
      <c r="B35" t="s">
        <v>32</v>
      </c>
      <c r="C35">
        <v>3</v>
      </c>
      <c r="D35">
        <v>2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2</v>
      </c>
      <c r="M35">
        <v>1</v>
      </c>
      <c r="N35">
        <v>1</v>
      </c>
      <c r="O35">
        <v>2</v>
      </c>
      <c r="P35">
        <v>1</v>
      </c>
      <c r="Q35">
        <v>2</v>
      </c>
      <c r="R35">
        <v>1</v>
      </c>
      <c r="S35">
        <v>2</v>
      </c>
      <c r="T35">
        <v>2</v>
      </c>
      <c r="U35">
        <v>1</v>
      </c>
      <c r="V35">
        <v>1</v>
      </c>
      <c r="W35">
        <v>3</v>
      </c>
      <c r="X35" cm="1">
        <f t="array" ref="X35">SUM(INDEX(C35:W35, {1,2,3,5,6,7,8,9,10,14}))</f>
        <v>13</v>
      </c>
      <c r="Y35" cm="1">
        <f t="array" ref="Y35">SUM(INDEX(C35:W35, {4,11,12,13,17,19}))</f>
        <v>8</v>
      </c>
      <c r="Z35" cm="1">
        <f t="array" ref="Z35">SUM(INDEX(C35:W35, {15,16,18,20,21}))</f>
        <v>9</v>
      </c>
      <c r="AA35">
        <f t="shared" si="8"/>
        <v>30</v>
      </c>
      <c r="AB35">
        <v>36</v>
      </c>
      <c r="AC35">
        <v>2</v>
      </c>
      <c r="AD35">
        <v>14</v>
      </c>
      <c r="AE35">
        <v>12</v>
      </c>
    </row>
    <row r="36" spans="1:31" x14ac:dyDescent="0.2">
      <c r="A36" t="s">
        <v>35</v>
      </c>
      <c r="B36" t="s">
        <v>36</v>
      </c>
      <c r="C36">
        <v>1</v>
      </c>
      <c r="D36">
        <v>1</v>
      </c>
      <c r="E36">
        <v>3</v>
      </c>
      <c r="F36">
        <v>2</v>
      </c>
      <c r="G36">
        <v>2</v>
      </c>
      <c r="H36">
        <v>3</v>
      </c>
      <c r="I36">
        <v>1</v>
      </c>
      <c r="J36">
        <v>3</v>
      </c>
      <c r="K36">
        <v>1</v>
      </c>
      <c r="L36">
        <v>2</v>
      </c>
      <c r="M36">
        <v>0</v>
      </c>
      <c r="N36">
        <v>3</v>
      </c>
      <c r="O36">
        <v>2</v>
      </c>
      <c r="P36">
        <v>1</v>
      </c>
      <c r="Q36">
        <v>2</v>
      </c>
      <c r="R36">
        <v>2</v>
      </c>
      <c r="S36">
        <v>1</v>
      </c>
      <c r="T36">
        <v>0</v>
      </c>
      <c r="U36">
        <v>0</v>
      </c>
      <c r="V36">
        <v>2</v>
      </c>
      <c r="W36">
        <v>0</v>
      </c>
      <c r="X36" cm="1">
        <f t="array" ref="X36">SUM(INDEX(C36:W36, {1,2,3,5,6,7,8,9,10,14}))</f>
        <v>18</v>
      </c>
      <c r="Y36" cm="1">
        <f t="array" ref="Y36">SUM(INDEX(C36:W36, {4,11,12,13,17,19}))</f>
        <v>8</v>
      </c>
      <c r="Z36" cm="1">
        <f t="array" ref="Z36">SUM(INDEX(C36:W36, {15,16,18,20,21}))</f>
        <v>6</v>
      </c>
      <c r="AA36">
        <f t="shared" si="8"/>
        <v>32</v>
      </c>
      <c r="AB36">
        <v>46</v>
      </c>
      <c r="AC36">
        <v>1</v>
      </c>
      <c r="AD36">
        <v>3</v>
      </c>
      <c r="AE36">
        <v>12</v>
      </c>
    </row>
    <row r="37" spans="1:31" x14ac:dyDescent="0.2">
      <c r="A37" t="s">
        <v>77</v>
      </c>
      <c r="B37" t="s">
        <v>78</v>
      </c>
      <c r="C37">
        <v>3</v>
      </c>
      <c r="D37">
        <v>3</v>
      </c>
      <c r="E37">
        <v>0</v>
      </c>
      <c r="F37">
        <v>3</v>
      </c>
      <c r="G37">
        <v>2</v>
      </c>
      <c r="H37">
        <v>3</v>
      </c>
      <c r="I37">
        <v>2</v>
      </c>
      <c r="J37">
        <v>1</v>
      </c>
      <c r="K37">
        <v>1</v>
      </c>
      <c r="L37">
        <v>1</v>
      </c>
      <c r="M37">
        <v>3</v>
      </c>
      <c r="N37">
        <v>1</v>
      </c>
      <c r="O37">
        <v>1</v>
      </c>
      <c r="P37">
        <v>1</v>
      </c>
      <c r="Q37">
        <v>3</v>
      </c>
      <c r="R37">
        <v>3</v>
      </c>
      <c r="S37">
        <v>2</v>
      </c>
      <c r="T37">
        <v>0</v>
      </c>
      <c r="U37">
        <v>1</v>
      </c>
      <c r="V37">
        <v>1</v>
      </c>
      <c r="W37">
        <v>2</v>
      </c>
      <c r="X37" cm="1">
        <f t="array" ref="X37">SUM(INDEX(C37:W37, {1,2,3,5,6,7,8,9,10,14}))</f>
        <v>17</v>
      </c>
      <c r="Y37" cm="1">
        <f t="array" ref="Y37">SUM(INDEX(C37:W37, {4,11,12,13,17,19}))</f>
        <v>11</v>
      </c>
      <c r="Z37" cm="1">
        <f t="array" ref="Z37">SUM(INDEX(C37:W37, {15,16,18,20,21}))</f>
        <v>9</v>
      </c>
      <c r="AA37">
        <f t="shared" si="8"/>
        <v>37</v>
      </c>
      <c r="AB37">
        <v>45</v>
      </c>
      <c r="AC37">
        <v>2</v>
      </c>
      <c r="AD37">
        <v>16</v>
      </c>
      <c r="AE37">
        <v>18</v>
      </c>
    </row>
    <row r="38" spans="1:31" x14ac:dyDescent="0.2">
      <c r="A38" t="s">
        <v>44</v>
      </c>
      <c r="B38" t="s">
        <v>43</v>
      </c>
      <c r="C38">
        <v>1</v>
      </c>
      <c r="D38">
        <v>1</v>
      </c>
      <c r="E38">
        <v>1</v>
      </c>
      <c r="F38">
        <v>1</v>
      </c>
      <c r="G38">
        <v>2</v>
      </c>
      <c r="H38">
        <v>3</v>
      </c>
      <c r="I38">
        <v>2</v>
      </c>
      <c r="J38">
        <v>1</v>
      </c>
      <c r="K38">
        <v>0</v>
      </c>
      <c r="L38">
        <v>1</v>
      </c>
      <c r="M38">
        <v>0</v>
      </c>
      <c r="N38">
        <v>1</v>
      </c>
      <c r="O38">
        <v>1</v>
      </c>
      <c r="P38">
        <v>1</v>
      </c>
      <c r="Q38">
        <v>1</v>
      </c>
      <c r="R38">
        <v>0</v>
      </c>
      <c r="S38">
        <v>1</v>
      </c>
      <c r="T38">
        <v>1</v>
      </c>
      <c r="U38">
        <v>2</v>
      </c>
      <c r="V38">
        <v>0</v>
      </c>
      <c r="W38">
        <v>1</v>
      </c>
      <c r="X38" cm="1">
        <f t="array" ref="X38">SUM(INDEX(C38:W38, {1,2,3,5,6,7,8,9,10,14}))</f>
        <v>13</v>
      </c>
      <c r="Y38" cm="1">
        <f t="array" ref="Y38">SUM(INDEX(C38:W38, {4,11,12,13,17,19}))</f>
        <v>6</v>
      </c>
      <c r="Z38" cm="1">
        <f t="array" ref="Z38">SUM(INDEX(C38:W38, {15,16,18,20,21}))</f>
        <v>3</v>
      </c>
      <c r="AA38">
        <f>SUM(C38:W38)</f>
        <v>22</v>
      </c>
      <c r="AB38">
        <v>39</v>
      </c>
      <c r="AC38">
        <v>1</v>
      </c>
      <c r="AD38">
        <v>1</v>
      </c>
      <c r="AE38">
        <v>18</v>
      </c>
    </row>
    <row r="39" spans="1:31" x14ac:dyDescent="0.2">
      <c r="A39" t="s">
        <v>87</v>
      </c>
      <c r="B39" t="s">
        <v>46</v>
      </c>
      <c r="C39">
        <v>3</v>
      </c>
      <c r="D39">
        <v>1</v>
      </c>
      <c r="E39">
        <v>0</v>
      </c>
      <c r="F39">
        <v>3</v>
      </c>
      <c r="G39">
        <v>1</v>
      </c>
      <c r="H39">
        <v>0</v>
      </c>
      <c r="I39">
        <v>1</v>
      </c>
      <c r="J39">
        <v>1</v>
      </c>
      <c r="K39">
        <v>2</v>
      </c>
      <c r="L39">
        <v>1</v>
      </c>
      <c r="M39">
        <v>0</v>
      </c>
      <c r="N39">
        <v>1</v>
      </c>
      <c r="O39">
        <v>1</v>
      </c>
      <c r="P39">
        <v>1</v>
      </c>
      <c r="Q39">
        <v>3</v>
      </c>
      <c r="R39">
        <v>0</v>
      </c>
      <c r="S39">
        <v>3</v>
      </c>
      <c r="T39">
        <v>0</v>
      </c>
      <c r="U39">
        <v>0</v>
      </c>
      <c r="V39">
        <v>1</v>
      </c>
      <c r="W39">
        <v>0</v>
      </c>
      <c r="X39" cm="1">
        <f t="array" ref="X39">SUM(INDEX(C39:W39, {1,2,3,5,6,7,8,9,10,14}))</f>
        <v>11</v>
      </c>
      <c r="Y39" cm="1">
        <f t="array" ref="Y39">SUM(INDEX(C39:W39, {4,11,12,13,17,19}))</f>
        <v>8</v>
      </c>
      <c r="Z39" cm="1">
        <f t="array" ref="Z39">SUM(INDEX(C39:W39, {15,16,18,20,21}))</f>
        <v>4</v>
      </c>
      <c r="AA39">
        <f>SUM(C39:W39)</f>
        <v>23</v>
      </c>
      <c r="AB39">
        <v>37</v>
      </c>
      <c r="AC39">
        <v>2</v>
      </c>
      <c r="AD39">
        <v>14</v>
      </c>
      <c r="AE39">
        <v>16</v>
      </c>
    </row>
    <row r="40" spans="1:31" x14ac:dyDescent="0.2">
      <c r="A40" t="s">
        <v>88</v>
      </c>
      <c r="B40" t="s">
        <v>89</v>
      </c>
      <c r="C40">
        <v>3</v>
      </c>
      <c r="D40">
        <v>3</v>
      </c>
      <c r="E40">
        <v>3</v>
      </c>
      <c r="F40">
        <v>3</v>
      </c>
      <c r="G40">
        <v>3</v>
      </c>
      <c r="H40">
        <v>0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2</v>
      </c>
      <c r="P40">
        <v>3</v>
      </c>
      <c r="Q40">
        <v>3</v>
      </c>
      <c r="R40">
        <v>3</v>
      </c>
      <c r="S40">
        <v>3</v>
      </c>
      <c r="T40">
        <v>2</v>
      </c>
      <c r="U40">
        <v>1</v>
      </c>
      <c r="V40">
        <v>1</v>
      </c>
      <c r="W40">
        <v>2</v>
      </c>
      <c r="X40" cm="1">
        <f t="array" ref="X40">SUM(INDEX(C40:W40, {1,2,3,5,6,7,8,9,10,14}))</f>
        <v>27</v>
      </c>
      <c r="Y40" cm="1">
        <f t="array" ref="Y40">SUM(INDEX(C40:W40, {4,11,12,13,17,19}))</f>
        <v>15</v>
      </c>
      <c r="Z40" cm="1">
        <f t="array" ref="Z40">SUM(INDEX(C40:W40, {15,16,18,20,21}))</f>
        <v>11</v>
      </c>
      <c r="AA40">
        <f t="shared" ref="AA40" si="15">SUM(C40:W40)</f>
        <v>53</v>
      </c>
      <c r="AB40">
        <v>18</v>
      </c>
      <c r="AC40">
        <v>2</v>
      </c>
      <c r="AD40">
        <v>5</v>
      </c>
      <c r="AE40">
        <v>12</v>
      </c>
    </row>
    <row r="41" spans="1:31" x14ac:dyDescent="0.2">
      <c r="A41" t="s">
        <v>48</v>
      </c>
      <c r="B41" t="s">
        <v>49</v>
      </c>
      <c r="C41" t="s">
        <v>50</v>
      </c>
      <c r="D41" t="s">
        <v>50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>
        <v>46</v>
      </c>
      <c r="AC41">
        <v>2</v>
      </c>
      <c r="AD41">
        <v>15</v>
      </c>
      <c r="AE41">
        <v>8</v>
      </c>
    </row>
    <row r="42" spans="1:31" x14ac:dyDescent="0.2">
      <c r="A42" t="s">
        <v>45</v>
      </c>
      <c r="B42" t="s">
        <v>47</v>
      </c>
      <c r="C42">
        <v>1</v>
      </c>
      <c r="D42">
        <v>2</v>
      </c>
      <c r="E42">
        <v>2</v>
      </c>
      <c r="F42">
        <v>3</v>
      </c>
      <c r="G42">
        <v>2</v>
      </c>
      <c r="H42">
        <v>2</v>
      </c>
      <c r="I42">
        <v>3</v>
      </c>
      <c r="J42">
        <v>1</v>
      </c>
      <c r="K42">
        <v>3</v>
      </c>
      <c r="L42">
        <v>3</v>
      </c>
      <c r="M42">
        <v>2</v>
      </c>
      <c r="N42">
        <v>3</v>
      </c>
      <c r="O42">
        <v>2</v>
      </c>
      <c r="P42">
        <v>2</v>
      </c>
      <c r="Q42">
        <v>3</v>
      </c>
      <c r="R42">
        <v>2</v>
      </c>
      <c r="S42">
        <v>1</v>
      </c>
      <c r="T42">
        <v>3</v>
      </c>
      <c r="U42">
        <v>0</v>
      </c>
      <c r="V42">
        <v>3</v>
      </c>
      <c r="W42">
        <v>3</v>
      </c>
      <c r="X42" cm="1">
        <f t="array" ref="X42">SUM(INDEX(C42:W42, {1,2,3,5,6,7,8,9,10,14}))</f>
        <v>21</v>
      </c>
      <c r="Y42" cm="1">
        <f t="array" ref="Y42">SUM(INDEX(C42:W42, {4,11,12,13,17,19}))</f>
        <v>11</v>
      </c>
      <c r="Z42" cm="1">
        <f t="array" ref="Z42">SUM(INDEX(C42:W42, {15,16,18,20,21}))</f>
        <v>14</v>
      </c>
      <c r="AA42">
        <f>SUM(C42:W42)</f>
        <v>46</v>
      </c>
      <c r="AB42">
        <v>45</v>
      </c>
      <c r="AC42">
        <v>1</v>
      </c>
      <c r="AD42">
        <v>27</v>
      </c>
      <c r="AE42">
        <v>16</v>
      </c>
    </row>
    <row r="43" spans="1:31" x14ac:dyDescent="0.2">
      <c r="A43" t="s">
        <v>42</v>
      </c>
      <c r="B43" t="s">
        <v>41</v>
      </c>
      <c r="C43">
        <v>1</v>
      </c>
      <c r="D43">
        <v>0</v>
      </c>
      <c r="E43">
        <v>1</v>
      </c>
      <c r="F43">
        <v>1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1</v>
      </c>
      <c r="S43">
        <v>1</v>
      </c>
      <c r="T43">
        <v>0</v>
      </c>
      <c r="U43">
        <v>0</v>
      </c>
      <c r="V43">
        <v>3</v>
      </c>
      <c r="W43">
        <v>0</v>
      </c>
      <c r="X43" cm="1">
        <f t="array" ref="X43">SUM(INDEX(C43:W43, {1,2,3,5,6,7,8,9,10,14}))</f>
        <v>4</v>
      </c>
      <c r="Y43" cm="1">
        <f t="array" ref="Y43">SUM(INDEX(C43:W43, {4,11,12,13,17,19}))</f>
        <v>2</v>
      </c>
      <c r="Z43" cm="1">
        <f t="array" ref="Z43">SUM(INDEX(C43:W43, {15,16,18,20,21}))</f>
        <v>4</v>
      </c>
      <c r="AA43">
        <f>SUM(C43:W43)</f>
        <v>10</v>
      </c>
      <c r="AB43">
        <v>43</v>
      </c>
      <c r="AC43">
        <v>2</v>
      </c>
      <c r="AD43">
        <v>25</v>
      </c>
      <c r="AE43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3C76-FF94-D249-AA9A-6F4764C599CE}">
  <dimension ref="A1:AE14"/>
  <sheetViews>
    <sheetView workbookViewId="0">
      <selection activeCell="B14" sqref="B14"/>
    </sheetView>
  </sheetViews>
  <sheetFormatPr baseColWidth="10" defaultColWidth="11.5" defaultRowHeight="15" x14ac:dyDescent="0.2"/>
  <sheetData>
    <row r="1" spans="1:31" x14ac:dyDescent="0.2">
      <c r="A1" t="s">
        <v>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31" x14ac:dyDescent="0.2">
      <c r="A2" t="s">
        <v>92</v>
      </c>
      <c r="B2" t="s">
        <v>93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</v>
      </c>
      <c r="V2">
        <v>0</v>
      </c>
      <c r="W2">
        <v>0</v>
      </c>
      <c r="X2" cm="1">
        <f t="array" ref="X2">SUM(INDEX(C2:W2, {1,2,3,5,6,7,8,9,10,14}))</f>
        <v>0</v>
      </c>
      <c r="Y2" cm="1">
        <f t="array" ref="Y2">SUM(INDEX(C2:W2, {4,11,12,13,17,19}))</f>
        <v>2</v>
      </c>
      <c r="Z2" cm="1">
        <f t="array" ref="Z2">SUM(INDEX(C2:W2, {15,16,18,20,21}))</f>
        <v>0</v>
      </c>
      <c r="AA2">
        <f t="shared" ref="AA2:AA14" si="0">SUM(C2:W2)</f>
        <v>2</v>
      </c>
    </row>
    <row r="3" spans="1:31" x14ac:dyDescent="0.2">
      <c r="A3" t="s">
        <v>57</v>
      </c>
      <c r="B3" t="s">
        <v>58</v>
      </c>
      <c r="C3">
        <v>0</v>
      </c>
      <c r="D3">
        <v>1</v>
      </c>
      <c r="E3">
        <v>2</v>
      </c>
      <c r="F3">
        <v>2</v>
      </c>
      <c r="G3">
        <v>1</v>
      </c>
      <c r="H3">
        <v>1</v>
      </c>
      <c r="I3">
        <v>1</v>
      </c>
      <c r="J3">
        <v>1</v>
      </c>
      <c r="K3">
        <v>0</v>
      </c>
      <c r="L3">
        <v>3</v>
      </c>
      <c r="M3">
        <v>3</v>
      </c>
      <c r="N3">
        <v>1</v>
      </c>
      <c r="O3">
        <v>3</v>
      </c>
      <c r="P3">
        <v>0</v>
      </c>
      <c r="Q3">
        <v>2</v>
      </c>
      <c r="R3">
        <v>0</v>
      </c>
      <c r="S3">
        <v>0</v>
      </c>
      <c r="T3">
        <v>0</v>
      </c>
      <c r="U3">
        <v>0</v>
      </c>
      <c r="V3">
        <v>0</v>
      </c>
      <c r="W3">
        <v>3</v>
      </c>
      <c r="X3" cm="1">
        <f t="array" ref="X3">SUM(INDEX(C3:W3, {1,2,3,5,6,7,8,9,10,14}))</f>
        <v>10</v>
      </c>
      <c r="Y3" cm="1">
        <f t="array" ref="Y3">SUM(INDEX(C3:W3, {4,11,12,13,17,19}))</f>
        <v>9</v>
      </c>
      <c r="Z3" cm="1">
        <f t="array" ref="Z3">SUM(INDEX(C3:W3, {15,16,18,20,21}))</f>
        <v>5</v>
      </c>
      <c r="AA3">
        <f t="shared" si="0"/>
        <v>24</v>
      </c>
    </row>
    <row r="4" spans="1:31" x14ac:dyDescent="0.2">
      <c r="A4" t="s">
        <v>96</v>
      </c>
      <c r="B4" t="s">
        <v>97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3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 cm="1">
        <f t="array" ref="X4">SUM(INDEX(C4:W4, {1,2,3,5,6,7,8,9,10,14}))</f>
        <v>2</v>
      </c>
      <c r="Y4" cm="1">
        <f t="array" ref="Y4">SUM(INDEX(C4:W4, {4,11,12,13,17,19}))</f>
        <v>1</v>
      </c>
      <c r="Z4" cm="1">
        <f t="array" ref="Z4">SUM(INDEX(C4:W4, {15,16,18,20,21}))</f>
        <v>4</v>
      </c>
      <c r="AA4">
        <f t="shared" si="0"/>
        <v>7</v>
      </c>
    </row>
    <row r="5" spans="1:31" x14ac:dyDescent="0.2">
      <c r="A5" t="s">
        <v>98</v>
      </c>
      <c r="B5" t="s">
        <v>99</v>
      </c>
      <c r="C5">
        <v>0</v>
      </c>
      <c r="D5">
        <v>1</v>
      </c>
      <c r="E5">
        <v>2</v>
      </c>
      <c r="F5">
        <v>1</v>
      </c>
      <c r="G5">
        <v>1</v>
      </c>
      <c r="H5">
        <v>1</v>
      </c>
      <c r="I5">
        <v>3</v>
      </c>
      <c r="J5">
        <v>1</v>
      </c>
      <c r="K5">
        <v>0</v>
      </c>
      <c r="L5">
        <v>3</v>
      </c>
      <c r="M5">
        <v>0</v>
      </c>
      <c r="N5">
        <v>2</v>
      </c>
      <c r="O5">
        <v>0</v>
      </c>
      <c r="P5">
        <v>1</v>
      </c>
      <c r="Q5">
        <v>1</v>
      </c>
      <c r="R5">
        <v>2</v>
      </c>
      <c r="S5">
        <v>1</v>
      </c>
      <c r="T5">
        <v>0</v>
      </c>
      <c r="U5">
        <v>0</v>
      </c>
      <c r="V5">
        <v>0</v>
      </c>
      <c r="W5">
        <v>3</v>
      </c>
      <c r="X5" cm="1">
        <f t="array" ref="X5">SUM(INDEX(C5:W5, {1,2,3,5,6,7,8,9,10,14}))</f>
        <v>13</v>
      </c>
      <c r="Y5" cm="1">
        <f t="array" ref="Y5">SUM(INDEX(C5:W5, {4,11,12,13,17,19}))</f>
        <v>4</v>
      </c>
      <c r="Z5" cm="1">
        <f t="array" ref="Z5">SUM(INDEX(C5:W5, {15,16,18,20,21}))</f>
        <v>6</v>
      </c>
      <c r="AA5">
        <f t="shared" si="0"/>
        <v>23</v>
      </c>
    </row>
    <row r="6" spans="1:31" x14ac:dyDescent="0.2">
      <c r="A6" t="s">
        <v>65</v>
      </c>
      <c r="B6" t="s">
        <v>66</v>
      </c>
      <c r="C6">
        <v>0</v>
      </c>
      <c r="D6">
        <v>1</v>
      </c>
      <c r="E6">
        <v>1</v>
      </c>
      <c r="F6">
        <v>2</v>
      </c>
      <c r="G6">
        <v>1</v>
      </c>
      <c r="H6">
        <v>0</v>
      </c>
      <c r="I6">
        <v>1</v>
      </c>
      <c r="J6">
        <v>2</v>
      </c>
      <c r="K6">
        <v>2</v>
      </c>
      <c r="L6">
        <v>0</v>
      </c>
      <c r="M6">
        <v>1</v>
      </c>
      <c r="N6">
        <v>0</v>
      </c>
      <c r="O6">
        <v>2</v>
      </c>
      <c r="P6">
        <v>1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 cm="1">
        <f t="array" ref="X6">SUM(INDEX(C6:W6, {1,2,3,5,6,7,8,9,10,14}))</f>
        <v>9</v>
      </c>
      <c r="Y6" cm="1">
        <f t="array" ref="Y6">SUM(INDEX(C6:W6, {4,11,12,13,17,19}))</f>
        <v>5</v>
      </c>
      <c r="Z6" cm="1">
        <f t="array" ref="Z6">SUM(INDEX(C6:W6, {15,16,18,20,21}))</f>
        <v>3</v>
      </c>
      <c r="AA6">
        <f t="shared" si="0"/>
        <v>17</v>
      </c>
    </row>
    <row r="7" spans="1:31" x14ac:dyDescent="0.2">
      <c r="A7" t="s">
        <v>102</v>
      </c>
      <c r="B7" t="s">
        <v>103</v>
      </c>
      <c r="C7">
        <v>0</v>
      </c>
      <c r="D7">
        <v>1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3</v>
      </c>
      <c r="M7">
        <v>1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0</v>
      </c>
      <c r="W7">
        <v>0</v>
      </c>
      <c r="X7" cm="1">
        <f t="array" ref="X7">SUM(INDEX(C7:W7, {1,2,3,5,6,7,8,9,10,14}))</f>
        <v>8</v>
      </c>
      <c r="Y7" cm="1">
        <f t="array" ref="Y7">SUM(INDEX(C7:W7, {4,11,12,13,17,19}))</f>
        <v>3</v>
      </c>
      <c r="Z7" cm="1">
        <f t="array" ref="Z7">SUM(INDEX(C7:W7, {15,16,18,20,21}))</f>
        <v>2</v>
      </c>
      <c r="AA7">
        <f t="shared" si="0"/>
        <v>13</v>
      </c>
    </row>
    <row r="8" spans="1:31" x14ac:dyDescent="0.2">
      <c r="A8" t="s">
        <v>108</v>
      </c>
      <c r="B8" t="s">
        <v>109</v>
      </c>
      <c r="C8">
        <v>2</v>
      </c>
      <c r="D8">
        <v>1</v>
      </c>
      <c r="E8">
        <v>0</v>
      </c>
      <c r="F8">
        <v>1</v>
      </c>
      <c r="G8">
        <v>1</v>
      </c>
      <c r="H8">
        <v>1</v>
      </c>
      <c r="I8">
        <v>3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1</v>
      </c>
      <c r="R8">
        <v>0</v>
      </c>
      <c r="S8">
        <v>1</v>
      </c>
      <c r="T8">
        <v>3</v>
      </c>
      <c r="U8">
        <v>3</v>
      </c>
      <c r="V8">
        <v>0</v>
      </c>
      <c r="W8">
        <v>0</v>
      </c>
      <c r="X8" cm="1">
        <f t="array" ref="X8">SUM(INDEX(C8:W8, {1,2,3,5,6,7,8,9,10,14}))</f>
        <v>10</v>
      </c>
      <c r="Y8" cm="1">
        <f t="array" ref="Y8">SUM(INDEX(C8:W8, {4,11,12,13,17,19}))</f>
        <v>8</v>
      </c>
      <c r="Z8" cm="1">
        <f t="array" ref="Z8">SUM(INDEX(C8:W8, {15,16,18,20,21}))</f>
        <v>4</v>
      </c>
      <c r="AA8">
        <f t="shared" si="0"/>
        <v>22</v>
      </c>
    </row>
    <row r="9" spans="1:31" x14ac:dyDescent="0.2">
      <c r="A9" t="s">
        <v>110</v>
      </c>
      <c r="B9" t="s">
        <v>111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1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 cm="1">
        <f t="array" ref="X9">SUM(INDEX(C9:W9, {1,2,3,5,6,7,8,9,10,14}))</f>
        <v>1</v>
      </c>
      <c r="Y9" cm="1">
        <f t="array" ref="Y9">SUM(INDEX(C9:W9, {4,11,12,13,17,19}))</f>
        <v>3</v>
      </c>
      <c r="Z9" cm="1">
        <f t="array" ref="Z9">SUM(INDEX(C9:W9, {15,16,18,20,21}))</f>
        <v>2</v>
      </c>
      <c r="AA9">
        <f t="shared" si="0"/>
        <v>6</v>
      </c>
    </row>
    <row r="10" spans="1:31" x14ac:dyDescent="0.2">
      <c r="A10" t="s">
        <v>39</v>
      </c>
      <c r="B10" t="s">
        <v>40</v>
      </c>
      <c r="C10">
        <v>0</v>
      </c>
      <c r="D10">
        <v>0</v>
      </c>
      <c r="E10">
        <v>3</v>
      </c>
      <c r="F10">
        <v>0</v>
      </c>
      <c r="G10">
        <v>1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cm="1">
        <f t="array" ref="X10">SUM(INDEX(C10:W10, {1,2,3,5,6,7,8,9,10,14}))</f>
        <v>6</v>
      </c>
      <c r="Y10" cm="1">
        <f t="array" ref="Y10">SUM(INDEX(C10:W10, {4,11,12,13,17,19}))</f>
        <v>0</v>
      </c>
      <c r="Z10" cm="1">
        <f t="array" ref="Z10">SUM(INDEX(C10:W10, {15,16,18,20,21}))</f>
        <v>0</v>
      </c>
      <c r="AA10">
        <f t="shared" si="0"/>
        <v>6</v>
      </c>
    </row>
    <row r="11" spans="1:31" x14ac:dyDescent="0.2">
      <c r="A11" t="s">
        <v>85</v>
      </c>
      <c r="B11" t="s">
        <v>86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 cm="1">
        <f t="array" ref="X11">SUM(INDEX(C11:W11, {1,2,3,5,6,7,8,9,10,14}))</f>
        <v>4</v>
      </c>
      <c r="Y11" cm="1">
        <f t="array" ref="Y11">SUM(INDEX(C11:W11, {4,11,12,13,17,19}))</f>
        <v>2</v>
      </c>
      <c r="Z11" cm="1">
        <f t="array" ref="Z11">SUM(INDEX(C11:W11, {15,16,18,20,21}))</f>
        <v>2</v>
      </c>
      <c r="AA11">
        <f>SUM(C11:W11)</f>
        <v>8</v>
      </c>
      <c r="AB11">
        <v>34</v>
      </c>
      <c r="AC11">
        <v>2</v>
      </c>
      <c r="AD11">
        <v>12</v>
      </c>
      <c r="AE11">
        <v>18</v>
      </c>
    </row>
    <row r="12" spans="1:31" x14ac:dyDescent="0.2">
      <c r="A12" t="s">
        <v>77</v>
      </c>
      <c r="B12" t="s">
        <v>78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 cm="1">
        <f t="array" ref="X12">SUM(INDEX(C12:W12, {1,2,3,5,6,7,8,9,10,14}))</f>
        <v>1</v>
      </c>
      <c r="Y12" cm="1">
        <f t="array" ref="Y12">SUM(INDEX(C12:W12, {4,11,12,13,17,19}))</f>
        <v>1</v>
      </c>
      <c r="Z12" cm="1">
        <f t="array" ref="Z12">SUM(INDEX(C12:W12, {15,16,18,20,21}))</f>
        <v>2</v>
      </c>
      <c r="AA12">
        <f t="shared" si="0"/>
        <v>4</v>
      </c>
    </row>
    <row r="13" spans="1:31" x14ac:dyDescent="0.2">
      <c r="A13" t="s">
        <v>87</v>
      </c>
      <c r="B13" t="s">
        <v>46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  <c r="T13">
        <v>0</v>
      </c>
      <c r="U13">
        <v>0</v>
      </c>
      <c r="V13">
        <v>2</v>
      </c>
      <c r="W13">
        <v>2</v>
      </c>
      <c r="X13" cm="1">
        <f t="array" ref="X13">SUM(INDEX(C13:W13, {1,2,3,5,6,7,8,9,10,14}))</f>
        <v>2</v>
      </c>
      <c r="Y13" cm="1">
        <f t="array" ref="Y13">SUM(INDEX(C13:W13, {4,11,12,13,17,19}))</f>
        <v>5</v>
      </c>
      <c r="Z13" cm="1">
        <f t="array" ref="Z13">SUM(INDEX(C13:W13, {15,16,18,20,21}))</f>
        <v>6</v>
      </c>
      <c r="AA13">
        <f>SUM(C13:W13)</f>
        <v>13</v>
      </c>
    </row>
    <row r="14" spans="1:31" x14ac:dyDescent="0.2">
      <c r="A14" t="s">
        <v>88</v>
      </c>
      <c r="B14" t="s">
        <v>89</v>
      </c>
      <c r="C14">
        <v>1</v>
      </c>
      <c r="D14">
        <v>0</v>
      </c>
      <c r="E14">
        <v>3</v>
      </c>
      <c r="F14">
        <v>1</v>
      </c>
      <c r="G14">
        <v>3</v>
      </c>
      <c r="H14">
        <v>1</v>
      </c>
      <c r="I14">
        <v>3</v>
      </c>
      <c r="J14">
        <v>2</v>
      </c>
      <c r="K14">
        <v>1</v>
      </c>
      <c r="L14">
        <v>3</v>
      </c>
      <c r="M14">
        <v>1</v>
      </c>
      <c r="N14">
        <v>3</v>
      </c>
      <c r="O14">
        <v>2</v>
      </c>
      <c r="P14">
        <v>3</v>
      </c>
      <c r="Q14">
        <v>1</v>
      </c>
      <c r="R14">
        <v>1</v>
      </c>
      <c r="S14">
        <v>2</v>
      </c>
      <c r="T14">
        <v>0</v>
      </c>
      <c r="U14">
        <v>0</v>
      </c>
      <c r="V14">
        <v>1</v>
      </c>
      <c r="W14">
        <v>3</v>
      </c>
      <c r="X14" cm="1">
        <f t="array" ref="X14">SUM(INDEX(C14:W14, {1,2,3,5,6,7,8,9,10,14}))</f>
        <v>20</v>
      </c>
      <c r="Y14" cm="1">
        <f t="array" ref="Y14">SUM(INDEX(C14:W14, {4,11,12,13,17,19}))</f>
        <v>9</v>
      </c>
      <c r="Z14" cm="1">
        <f t="array" ref="Z14">SUM(INDEX(C14:W14, {15,16,18,20,21}))</f>
        <v>6</v>
      </c>
      <c r="AA14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BDI-II Multi</vt:lpstr>
      <vt:lpstr>BDI-II_AfterECT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Kaan Keskin</cp:lastModifiedBy>
  <dcterms:created xsi:type="dcterms:W3CDTF">2025-07-02T17:26:46Z</dcterms:created>
  <dcterms:modified xsi:type="dcterms:W3CDTF">2025-07-19T11:27:28Z</dcterms:modified>
</cp:coreProperties>
</file>